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7e6ebe1c9544949" /></Relationships>
</file>

<file path=xl/workbook.xml><?xml version="1.0" encoding="utf-8"?>
<x:workbook xmlns:x="http://schemas.openxmlformats.org/spreadsheetml/2006/main">
  <x:sheets>
    <x:sheet xmlns:r="http://schemas.openxmlformats.org/officeDocument/2006/relationships" name="Top picks" sheetId="1" r:id="R2c40259a5fb745ce"/>
    <x:sheet xmlns:r="http://schemas.openxmlformats.org/officeDocument/2006/relationships" name="Resources" sheetId="2" r:id="R50f527fc2aa04f41"/>
    <x:sheet xmlns:r="http://schemas.openxmlformats.org/officeDocument/2006/relationships" name="Category guide" sheetId="3" r:id="R045d841929c045f0"/>
    <x:sheet xmlns:r="http://schemas.openxmlformats.org/officeDocument/2006/relationships" name="Reference moments" sheetId="4" r:id="R5eadd12ef88f4079"/>
    <x:sheet xmlns:r="http://schemas.openxmlformats.org/officeDocument/2006/relationships" name="Scenario recipes" sheetId="5" r:id="R35b1173e67b041d1"/>
    <x:sheet xmlns:r="http://schemas.openxmlformats.org/officeDocument/2006/relationships" name="Excluded and watch" sheetId="6" r:id="R32f132798ff94a4e"/>
    <x:sheet xmlns:r="http://schemas.openxmlformats.org/officeDocument/2006/relationships" name="Reference sources" sheetId="7" r:id="R55b1c8b98423437c"/>
    <x:sheet xmlns:r="http://schemas.openxmlformats.org/officeDocument/2006/relationships" name="Method and tags" sheetId="8" r:id="R9fe534eb8f8e4dc8"/>
    <x:sheet xmlns:r="http://schemas.openxmlformats.org/officeDocument/2006/relationships" name="Choose a resource" sheetId="9" r:id="R8a19c9abb64147c3"/>
    <x:sheet xmlns:r="http://schemas.openxmlformats.org/officeDocument/2006/relationships" name="Decision matrix" sheetId="10" r:id="Rebcf010c26ef44ef"/>
    <x:sheet xmlns:r="http://schemas.openxmlformats.org/officeDocument/2006/relationships" name="Scoring rubric" sheetId="11" r:id="Rbd74725c93704212"/>
    <x:sheet xmlns:r="http://schemas.openxmlformats.org/officeDocument/2006/relationships" name="Discovery ledger" sheetId="12" r:id="Rf093794132a6415c"/>
    <x:sheet xmlns:r="http://schemas.openxmlformats.org/officeDocument/2006/relationships" name="Resource examples" sheetId="13" r:id="R7b16051de3b243b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yyyy-mm-dd"/>
    <x:numFmt numFmtId="202" formatCode="0.0"/>
    <x:numFmt numFmtId="203" formatCode="0"/>
  </x:numFmts>
  <x:fonts count="6">
    <x:font>
      <x:sz val="11"/>
      <x:name val="Carlito"/>
    </x:font>
    <x:font>
      <x:sz val="10"/>
      <x:color rgb="FF172536"/>
      <x:name val="Arial"/>
    </x:font>
    <x:font>
      <x:b/>
      <x:sz val="10"/>
      <x:color rgb="FFFFFFFF"/>
      <x:name val="Arial"/>
    </x:font>
    <x:font>
      <x:b/>
      <x:sz val="10"/>
      <x:color rgb="FF172536"/>
      <x:name val="Arial"/>
    </x:font>
    <x:font>
      <x:b/>
      <x:sz val="10"/>
      <x:name val="Arial"/>
    </x:font>
    <x:font>
      <x:b/>
      <x:sz val="16"/>
      <x:color rgb="FF17334D"/>
      <x:name val="Arial"/>
    </x:font>
  </x:fonts>
  <x:fills count="7">
    <x:fill>
      <x:patternFill patternType="none"/>
    </x:fill>
    <x:fill>
      <x:patternFill patternType="gray125"/>
    </x:fill>
    <x:fill>
      <x:patternFill patternType="solid">
        <x:fgColor rgb="FF17334D"/>
      </x:patternFill>
    </x:fill>
    <x:fill>
      <x:patternFill patternType="solid">
        <x:fgColor rgb="FFF1F5F8"/>
      </x:patternFill>
    </x:fill>
    <x:fill>
      <x:patternFill patternType="solid">
        <x:fgColor rgb="FF17334D"/>
      </x:patternFill>
    </x:fill>
    <x:fill>
      <x:patternFill patternType="solid">
        <x:fgColor rgb="FFFFF0C2"/>
      </x:patternFill>
    </x:fill>
    <x:fill>
      <x:patternFill patternType="solid">
        <x:fgColor rgb="FFE9F1F5"/>
      </x:patternFill>
    </x:fill>
  </x:fills>
  <x:borders count="1">
    <x:border>
      <x:left/>
      <x:right/>
      <x:top/>
      <x:bottom/>
      <x:diagonal/>
    </x:border>
  </x:borders>
  <x:cellStyleXfs count="1">
    <x:xf numFmtId="0" fontId="0" fillId="0" borderId="0"/>
  </x:cellStyleXfs>
  <x:cellXfs count="3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3" fillId="2" borderId="0" xfId="0" applyNumberFormat="1" applyFont="1" applyFill="1" applyBorder="1" applyAlignment="1">
      <x:alignment horizontal="center" vertical="top" wrapText="1"/>
    </x:xf>
    <x:xf numFmtId="0" fontId="3" fillId="4"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0" fontId="2" fillId="4" borderId="0" xfId="0" applyNumberFormat="1" applyFont="1" applyFill="1" applyBorder="1" applyAlignment="1">
      <x:alignment horizontal="center" vertical="top" wrapText="1"/>
    </x:xf>
    <x:xf numFmtId="0" fontId="2" fillId="4" borderId="0" xfId="0" applyNumberFormat="1" applyFont="1" applyFill="1" applyBorder="1" applyAlignment="1">
      <x:alignment vertical="top" wrapText="1"/>
    </x:xf>
    <x:xf numFmtId="0" fontId="2" fillId="4" borderId="0" xfId="0" applyNumberFormat="1" applyFont="1" applyFill="1" applyBorder="1" applyAlignment="1">
      <x:alignment horizontal="center" vertical="center" wrapText="1"/>
    </x:xf>
    <x:xf numFmtId="202" fontId="1" fillId="0" borderId="0" xfId="0" applyNumberFormat="1" applyFont="1" applyFill="1" applyBorder="1" applyAlignment="1">
      <x:alignment vertical="top" wrapText="1"/>
    </x:xf>
    <x:xf numFmtId="202"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0" fillId="0" borderId="0" xfId="0" applyNumberFormat="1" applyFont="1" applyFill="1" applyBorder="1" applyAlignment="1">
      <x:alignment wrapText="1"/>
    </x:xf>
    <x:xf numFmtId="0" fontId="4" fillId="0" borderId="0" xfId="0" applyNumberFormat="1" applyFont="1" applyFill="1" applyBorder="1" applyAlignment="1">
      <x:alignment wrapText="1"/>
    </x:xf>
    <x:xf numFmtId="0" fontId="5" fillId="0" borderId="0" xfId="0" applyNumberFormat="1" applyFont="1" applyFill="1" applyBorder="1"/>
    <x:xf numFmtId="0" fontId="1" fillId="4" borderId="0" xfId="0" applyNumberFormat="1" applyFont="1" applyFill="1" applyBorder="1" applyAlignment="1">
      <x:alignment wrapText="1"/>
    </x:xf>
    <x:xf numFmtId="0" fontId="2" fillId="4" borderId="0" xfId="0" applyNumberFormat="1" applyFont="1" applyFill="1" applyBorder="1" applyAlignment="1">
      <x:alignment wrapText="1"/>
    </x:xf>
    <x:xf numFmtId="0" fontId="1" fillId="5" borderId="0" xfId="0" applyNumberFormat="1" applyFont="1" applyFill="1" applyBorder="1"/>
    <x:xf numFmtId="0" fontId="1" fillId="6" borderId="0" xfId="0" applyNumberFormat="1" applyFont="1" applyFill="1" applyBorder="1" applyAlignment="1">
      <x:alignment wrapText="1"/>
    </x:xf>
    <x:xf numFmtId="203" fontId="1" fillId="0" borderId="0" xfId="0" applyNumberFormat="1" applyFont="1" applyFill="1" applyBorder="1"/>
  </x:cellXfs>
  <x:cellStyles count="1">
    <x:cellStyle name="Normal" xfId="0"/>
  </x:cellStyles>
  <x:dxfs count="2">
    <x:dxf>
      <x:font>
        <x:b/>
        <x:color rgb="FF9C2C18"/>
      </x:font>
      <x:fill>
        <x:patternFill patternType="solid">
          <x:bgColor rgb="FFFBE6DE"/>
        </x:patternFill>
      </x:fill>
    </x:dxf>
    <x:dxf>
      <x:font>
        <x:b/>
        <x:color rgb="FF175F44"/>
      </x:font>
      <x:fill>
        <x:patternFill patternType="solid">
          <x:bgColor rgb="FFDCEE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952807d7b33462c" /><Relationship Type="http://schemas.openxmlformats.org/officeDocument/2006/relationships/theme" Target="/xl/theme/theme1.xml" Id="R4d6cee03c7354ede" /><Relationship Type="http://schemas.openxmlformats.org/officeDocument/2006/relationships/sharedStrings" Target="/xl/sharedStrings.xml" Id="Radea7daf466e4913" /><Relationship Type="http://schemas.openxmlformats.org/officeDocument/2006/relationships/worksheet" Target="/xl/worksheets/sheet1.xml" Id="R2c40259a5fb745ce" /><Relationship Type="http://schemas.openxmlformats.org/officeDocument/2006/relationships/worksheet" Target="/xl/worksheets/sheet2.xml" Id="R50f527fc2aa04f41" /><Relationship Type="http://schemas.openxmlformats.org/officeDocument/2006/relationships/worksheet" Target="/xl/worksheets/sheet3.xml" Id="R045d841929c045f0" /><Relationship Type="http://schemas.openxmlformats.org/officeDocument/2006/relationships/worksheet" Target="/xl/worksheets/sheet4.xml" Id="R5eadd12ef88f4079" /><Relationship Type="http://schemas.openxmlformats.org/officeDocument/2006/relationships/worksheet" Target="/xl/worksheets/sheet5.xml" Id="R35b1173e67b041d1" /><Relationship Type="http://schemas.openxmlformats.org/officeDocument/2006/relationships/worksheet" Target="/xl/worksheets/sheet6.xml" Id="R32f132798ff94a4e" /><Relationship Type="http://schemas.openxmlformats.org/officeDocument/2006/relationships/worksheet" Target="/xl/worksheets/sheet7.xml" Id="R55b1c8b98423437c" /><Relationship Type="http://schemas.openxmlformats.org/officeDocument/2006/relationships/worksheet" Target="/xl/worksheets/sheet8.xml" Id="R9fe534eb8f8e4dc8" /><Relationship Type="http://schemas.openxmlformats.org/officeDocument/2006/relationships/worksheet" Target="/xl/worksheets/sheet9.xml" Id="R8a19c9abb64147c3" /><Relationship Type="http://schemas.openxmlformats.org/officeDocument/2006/relationships/worksheet" Target="/xl/worksheets/sheet10.xml" Id="Rebcf010c26ef44ef" /><Relationship Type="http://schemas.openxmlformats.org/officeDocument/2006/relationships/worksheet" Target="/xl/worksheets/sheet11.xml" Id="Rbd74725c93704212" /><Relationship Type="http://schemas.openxmlformats.org/officeDocument/2006/relationships/worksheet" Target="/xl/worksheets/sheet12.xml" Id="Rf093794132a6415c" /><Relationship Type="http://schemas.openxmlformats.org/officeDocument/2006/relationships/worksheet" Target="/xl/worksheets/sheet13.xml" Id="R7b16051de3b243b2" /></Relationships>
</file>

<file path=xl/tables/table1.xml><?xml version="1.0" encoding="utf-8"?>
<x:table xmlns:x="http://schemas.openxmlformats.org/spreadsheetml/2006/main" id="10" name="ExpandedTopPicksTable" displayName="ExpandedTopPicksTable" ref="A1:D13" headerRowCount="1" totalsRowCount="0" totalsRowShown="0">
  <x:autoFilter ref="A1:D13"/>
  <x:tableColumns count="4">
    <x:tableColumn id="1" name="Category"/>
    <x:tableColumn id="2" name="Default"/>
    <x:tableColumn id="3" name="Use a specialist when"/>
    <x:tableColumn id="4" name="Main caution"/>
  </x:tableColumns>
  <x:tableStyleInfo name="TableStyleMedium2" showFirstColumn="0" showLastColumn="0" showRowStripes="1" showColumnStripes="0"/>
</x:table>
</file>

<file path=xl/tables/table2.xml><?xml version="1.0" encoding="utf-8"?>
<x:table xmlns:x="http://schemas.openxmlformats.org/spreadsheetml/2006/main" id="9" name="ExpandedResourcesTable" displayName="ExpandedResourcesTable" ref="A1:AX63" headerRowCount="1" totalsRowCount="0" totalsRowShown="0">
  <x:autoFilter ref="A1:AX63"/>
  <x:tableColumns count="50">
    <x:tableColumn id="1" name="Resource ID"/>
    <x:tableColumn id="2" name="Name"/>
    <x:tableColumn id="3" name="Recommendation"/>
    <x:tableColumn id="4" name="Category"/>
    <x:tableColumn id="5" name="Category tags"/>
    <x:tableColumn id="6" name="Scenario tags"/>
    <x:tableColumn id="7" name="Best at"/>
    <x:tableColumn id="8" name="Licence / scope"/>
    <x:tableColumn id="9" name="Licence class"/>
    <x:tableColumn id="10" name="Repository"/>
    <x:tableColumn id="11" name="Documentation"/>
    <x:tableColumn id="12" name="React / Next fit"/>
    <x:tableColumn id="13" name="Tech stack"/>
    <x:tableColumn id="14" name="Visual quality / 5"/>
    <x:tableColumn id="15" name="Best demo"/>
    <x:tableColumn id="16" name="Visual assessment basis"/>
    <x:tableColumn id="17" name="Performance notes"/>
    <x:tableColumn id="18" name="Limitations / risks"/>
    <x:tableColumn id="19" name="Last release date"/>
    <x:tableColumn id="20" name="Release tag"/>
    <x:tableColumn id="21" name="Last meaningful commit"/>
    <x:tableColumn id="22" name="Maintenance signal"/>
    <x:tableColumn id="23" name="Six-month gate"/>
    <x:tableColumn id="24" name="GitHub stars approx."/>
    <x:tableColumn id="25" name="Stars as of"/>
    <x:tableColumn id="26" name="Backing / community"/>
    <x:tableColumn id="27" name="Licence source"/>
    <x:tableColumn id="28" name="Maintenance sources"/>
    <x:tableColumn id="29" name="Other primary sources"/>
    <x:tableColumn id="30" name="Visual review scope"/>
    <x:tableColumn id="31" name="Notes"/>
    <x:tableColumn id="32" name="Verified on"/>
    <x:tableColumn id="33" name="Decision role"/>
    <x:tableColumn id="34" name="Balanced score (fixed /100)"/>
    <x:tableColumn id="35" name="Score: visual /5"/>
    <x:tableColumn id="36" name="Score: interaction /5"/>
    <x:tableColumn id="37" name="Score: accessibility /5"/>
    <x:tableColumn id="38" name="Score: scale /5"/>
    <x:tableColumn id="39" name="Score: react_next /5"/>
    <x:tableColumn id="40" name="Score: docs /5"/>
    <x:tableColumn id="41" name="Score: health /5"/>
    <x:tableColumn id="42" name="Score: ease /5"/>
    <x:tableColumn id="43" name="Setup effort"/>
    <x:tableColumn id="44" name="Use when"/>
    <x:tableColumn id="45" name="Avoid / prefer an alternative"/>
    <x:tableColumn id="46" name="Compare options / related layers"/>
    <x:tableColumn id="47" name="Additional example URL"/>
    <x:tableColumn id="48" name="Example moment"/>
    <x:tableColumn id="49" name="Evidence confidence"/>
    <x:tableColumn id="50" name="Selection gate"/>
  </x:tableColumns>
  <x:tableStyleInfo name="TableStyleMedium2" showFirstColumn="0" showLastColumn="0" showRowStripes="1" showColumnStripes="0"/>
</x:table>
</file>

<file path=xl/tables/table3.xml><?xml version="1.0" encoding="utf-8"?>
<x:table xmlns:x="http://schemas.openxmlformats.org/spreadsheetml/2006/main" id="11" name="ExpandedCategoryGuideTable" displayName="ExpandedCategoryGuideTable" ref="A1:H41" headerRowCount="1" totalsRowCount="0" totalsRowShown="0">
  <x:autoFilter ref="A1:H41"/>
  <x:tableColumns count="8">
    <x:tableColumn id="1" name="ID"/>
    <x:tableColumn id="2" name="Category"/>
    <x:tableColumn id="3" name="Priority"/>
    <x:tableColumn id="4" name="Curated tools (3-6)"/>
    <x:tableColumn id="5" name="Guide questions"/>
    <x:tableColumn id="6" name="Starter-list changes"/>
    <x:tableColumn id="7" name="Gap or custom work"/>
    <x:tableColumn id="8" name="Other supporting fits"/>
  </x:tableColumns>
  <x:tableStyleInfo name="TableStyleMedium2" showFirstColumn="0" showLastColumn="0" showRowStripes="1" showColumnStripes="0"/>
</x:table>
</file>

<file path=xl/tables/table4.xml><?xml version="1.0" encoding="utf-8"?>
<x:table xmlns:x="http://schemas.openxmlformats.org/spreadsheetml/2006/main" id="4" name="ReferencemomentsTable" displayName="ReferencemomentsTable" ref="A1:E124" headerRowCount="1" totalsRowCount="0" totalsRowShown="0">
  <x:autoFilter ref="A1:E124"/>
  <x:tableColumns count="5">
    <x:tableColumn id="1" name="Category ID"/>
    <x:tableColumn id="2" name="Reference URL"/>
    <x:tableColumn id="3" name="Specific screen or moment"/>
    <x:tableColumn id="4" name="What to learn"/>
    <x:tableColumn id="5" name="Verification"/>
  </x:tableColumns>
  <x:tableStyleInfo name="TableStyleMedium2" showFirstColumn="0" showLastColumn="0" showRowStripes="1" showColumnStripes="0"/>
</x:table>
</file>

<file path=xl/tables/table5.xml><?xml version="1.0" encoding="utf-8"?>
<x:table xmlns:x="http://schemas.openxmlformats.org/spreadsheetml/2006/main" id="5" name="ScenariorecipesTable" displayName="ScenariorecipesTable" ref="A1:D11" headerRowCount="1" totalsRowCount="0" totalsRowShown="0">
  <x:autoFilter ref="A1:D11"/>
  <x:tableColumns count="4">
    <x:tableColumn id="1" name="Scenario"/>
    <x:tableColumn id="2" name="Default resource combination"/>
    <x:tableColumn id="3" name="Critical design requirement"/>
    <x:tableColumn id="4" name="Validation to run"/>
  </x:tableColumns>
  <x:tableStyleInfo name="TableStyleMedium2" showFirstColumn="0" showLastColumn="0" showRowStripes="1" showColumnStripes="0"/>
</x:table>
</file>

<file path=xl/tables/table6.xml><?xml version="1.0" encoding="utf-8"?>
<x:table xmlns:x="http://schemas.openxmlformats.org/spreadsheetml/2006/main" id="12" name="ExpandedExceptionsTable" displayName="ExpandedExceptionsTable" ref="A1:D31" headerRowCount="1" totalsRowCount="0" totalsRowShown="0">
  <x:autoFilter ref="A1:D31"/>
  <x:tableColumns count="4">
    <x:tableColumn id="1" name="Resource"/>
    <x:tableColumn id="2" name="Disposition"/>
    <x:tableColumn id="3" name="Reason"/>
    <x:tableColumn id="4" name="Evidence URLs"/>
  </x:tableColumns>
  <x:tableStyleInfo name="TableStyleMedium2" showFirstColumn="0" showLastColumn="0" showRowStripes="1" showColumnStripes="0"/>
</x:table>
</file>

<file path=xl/tables/table7.xml><?xml version="1.0" encoding="utf-8"?>
<x:table xmlns:x="http://schemas.openxmlformats.org/spreadsheetml/2006/main" id="7" name="ReferencesourcesTable" displayName="ReferencesourcesTable" ref="A1:E7" headerRowCount="1" totalsRowCount="0" totalsRowShown="0">
  <x:autoFilter ref="A1:E7"/>
  <x:tableColumns count="5">
    <x:tableColumn id="1" name="Name"/>
    <x:tableColumn id="2" name="URL"/>
    <x:tableColumn id="3" name="Best screen or moment"/>
    <x:tableColumn id="4" name="Access and reuse"/>
    <x:tableColumn id="5" name="Recommendation"/>
  </x:tableColumns>
  <x:tableStyleInfo name="TableStyleMedium2" showFirstColumn="0" showLastColumn="0" showRowStripes="1" showColumnStripes="0"/>
</x:table>
</file>

<file path=xl/tables/table8.xml><?xml version="1.0" encoding="utf-8"?>
<x:table xmlns:x="http://schemas.openxmlformats.org/spreadsheetml/2006/main" id="13" name="ExpandedMethodTable" displayName="ExpandedMethodTable" ref="A1:B22" headerRowCount="1" totalsRowCount="0" totalsRowShown="0">
  <x:autoFilter ref="A1:B22"/>
  <x:tableColumns count="2">
    <x:tableColumn id="1" name="Field or rule"/>
    <x:tableColumn id="2" name="Definition"/>
  </x:tableColumns>
  <x:tableStyleInfo name="TableStyleMedium2" showFirstColumn="0" showLastColumn="0" showRowStripes="1" showColumnStripes="0"/>
</x:table>
</file>

<file path=xl/tables/table9.xml><?xml version="1.0" encoding="utf-8"?>
<x:table xmlns:x="http://schemas.openxmlformats.org/spreadsheetml/2006/main" id="14" name="DecisionMatrixTable" displayName="DecisionMatrixTable" ref="A1:AJ63" headerRowCount="1" totalsRowCount="0" totalsRowShown="0">
  <x:autoFilter ref="A1:AJ63"/>
  <x:tableColumns count="36">
    <x:tableColumn id="1" name="ID"/>
    <x:tableColumn id="2" name="Name"/>
    <x:tableColumn id="3" name="Role"/>
    <x:tableColumn id="4" name="Recommendation"/>
    <x:tableColumn id="5" name="Selected fit /3"/>
    <x:tableColumn id="6" name="Weighted score /100"/>
    <x:tableColumn id="7" name="Status"/>
    <x:tableColumn id="8" name="Role rank"/>
    <x:tableColumn id="9" name="Visual"/>
    <x:tableColumn id="10" name="Interaction"/>
    <x:tableColumn id="11" name="Accessibility"/>
    <x:tableColumn id="12" name="Scale architecture"/>
    <x:tableColumn id="13" name="React / Next"/>
    <x:tableColumn id="14" name="Docs / examples"/>
    <x:tableColumn id="15" name="Project health"/>
    <x:tableColumn id="16" name="Ease of adoption"/>
    <x:tableColumn id="17" name="Setup effort"/>
    <x:tableColumn id="18" name="Selection gate"/>
    <x:tableColumn id="19" name="Confidence"/>
    <x:tableColumn id="20" name="Use when"/>
    <x:tableColumn id="21" name="Avoid / prefer alternative"/>
    <x:tableColumn id="22" name="Compare options / related layers"/>
    <x:tableColumn id="23" name="Best example"/>
    <x:tableColumn id="24" name="Example moment"/>
    <x:tableColumn id="25" name="Second example / guidance"/>
    <x:tableColumn id="26" name="Second moment"/>
    <x:tableColumn id="27" name="Simple charts"/>
    <x:tableColumn id="28" name="KPI dashboards"/>
    <x:tableColumn id="29" name="Real-time trading charts"/>
    <x:tableColumn id="30" name="Live maps"/>
    <x:tableColumn id="31" name="Landing pages"/>
    <x:tableColumn id="32" name="3D product configurators"/>
    <x:tableColumn id="33" name="Multiplayer whiteboards"/>
    <x:tableColumn id="34" name="Video editing timelines"/>
    <x:tableColumn id="35" name="Network graphs"/>
    <x:tableColumn id="36" name="AI agent interfaces"/>
  </x:tableColumns>
  <x:tableStyleInfo name="TableStyleMedium2" showFirstColumn="0" showLastColumn="0" showRowStripes="1" showColumnStripes="0"/>
</x:table>
</file>

<file path=xl/tables/table10.xml><?xml version="1.0" encoding="utf-8"?>
<x:table xmlns:x="http://schemas.openxmlformats.org/spreadsheetml/2006/main" id="15" name="ScoringRubricTable" displayName="ScoringRubricTable" ref="A1:E9" headerRowCount="1" totalsRowCount="0" totalsRowShown="0">
  <x:autoFilter ref="A1:E9"/>
  <x:tableColumns count="5">
    <x:tableColumn id="1" name="Dimension"/>
    <x:tableColumn id="2" name="1: weak"/>
    <x:tableColumn id="3" name="3: adequate"/>
    <x:tableColumn id="4" name="5: strong"/>
    <x:tableColumn id="5" name="N/A / evidence limit"/>
  </x:tableColumns>
  <x:tableStyleInfo name="TableStyleMedium2" showFirstColumn="0" showLastColumn="0" showRowStripes="1" showColumnStripes="0"/>
</x:table>
</file>

<file path=xl/tables/table11.xml><?xml version="1.0" encoding="utf-8"?>
<x:table xmlns:x="http://schemas.openxmlformats.org/spreadsheetml/2006/main" id="16" name="DiscoveryLedgerTable" displayName="DiscoveryLedgerTable" ref="A1:I42" headerRowCount="1" totalsRowCount="0" totalsRowShown="0">
  <x:autoFilter ref="A1:I42"/>
  <x:tableColumns count="9">
    <x:tableColumn id="1" name="Name / lead"/>
    <x:tableColumn id="2" name="Discovery type"/>
    <x:tableColumn id="3" name="Discovery URL"/>
    <x:tableColumn id="4" name="What surfaced it"/>
    <x:tableColumn id="5" name="Primary verification URL"/>
    <x:tableColumn id="6" name="Decision"/>
    <x:tableColumn id="7" name="Reason"/>
    <x:tableColumn id="8" name="Final catalogue status"/>
    <x:tableColumn id="9" name="Resource ID"/>
  </x:tableColumns>
  <x:tableStyleInfo name="TableStyleMedium2" showFirstColumn="0" showLastColumn="0" showRowStripes="1" showColumnStripes="0"/>
</x:table>
</file>

<file path=xl/tables/table12.xml><?xml version="1.0" encoding="utf-8"?>
<x:table xmlns:x="http://schemas.openxmlformats.org/spreadsheetml/2006/main" id="17" name="ResourceExamplesTable" displayName="ResourceExamplesTable" ref="A1:F81" headerRowCount="1" totalsRowCount="0" totalsRowShown="0">
  <x:autoFilter ref="A1:F81"/>
  <x:tableColumns count="6">
    <x:tableColumn id="1" name="Resource ID"/>
    <x:tableColumn id="2" name="Resource"/>
    <x:tableColumn id="3" name="Example URL"/>
    <x:tableColumn id="4" name="Specific moment"/>
    <x:tableColumn id="5" name="Why it matters"/>
    <x:tableColumn id="6" name="Verific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45453b316184209" /></Relationships>
</file>

<file path=xl/worksheets/_rels/sheet2.xml.rels>&#65279;<?xml version="1.0" encoding="utf-8"?><Relationships xmlns="http://schemas.openxmlformats.org/package/2006/relationships"><Relationship Type="http://schemas.openxmlformats.org/officeDocument/2006/relationships/table" Target="/xl/tables/table2.xml" Id="R1dc50879300749c3" /></Relationships>
</file>

<file path=xl/worksheets/_rels/sheet3.xml.rels>&#65279;<?xml version="1.0" encoding="utf-8"?><Relationships xmlns="http://schemas.openxmlformats.org/package/2006/relationships"><Relationship Type="http://schemas.openxmlformats.org/officeDocument/2006/relationships/table" Target="/xl/tables/table3.xml" Id="R1853c7186eb54ca4" /></Relationships>
</file>

<file path=xl/worksheets/_rels/sheet4.xml.rels>&#65279;<?xml version="1.0" encoding="utf-8"?><Relationships xmlns="http://schemas.openxmlformats.org/package/2006/relationships"><Relationship Type="http://schemas.openxmlformats.org/officeDocument/2006/relationships/table" Target="/xl/tables/table4.xml" Id="R6d9d6a7ca4824581" /></Relationships>
</file>

<file path=xl/worksheets/_rels/sheet5.xml.rels>&#65279;<?xml version="1.0" encoding="utf-8"?><Relationships xmlns="http://schemas.openxmlformats.org/package/2006/relationships"><Relationship Type="http://schemas.openxmlformats.org/officeDocument/2006/relationships/table" Target="/xl/tables/table5.xml" Id="Rdd777fa19fd34d04" /></Relationships>
</file>

<file path=xl/worksheets/_rels/sheet6.xml.rels>&#65279;<?xml version="1.0" encoding="utf-8"?><Relationships xmlns="http://schemas.openxmlformats.org/package/2006/relationships"><Relationship Type="http://schemas.openxmlformats.org/officeDocument/2006/relationships/table" Target="/xl/tables/table6.xml" Id="R6cdbf8114717490b" /></Relationships>
</file>

<file path=xl/worksheets/_rels/sheet7.xml.rels>&#65279;<?xml version="1.0" encoding="utf-8"?><Relationships xmlns="http://schemas.openxmlformats.org/package/2006/relationships"><Relationship Type="http://schemas.openxmlformats.org/officeDocument/2006/relationships/table" Target="/xl/tables/table7.xml" Id="Rbcd60d42e94e4b09" /></Relationships>
</file>

<file path=xl/worksheets/_rels/sheet8.xml.rels>&#65279;<?xml version="1.0" encoding="utf-8"?><Relationships xmlns="http://schemas.openxmlformats.org/package/2006/relationships"><Relationship Type="http://schemas.openxmlformats.org/officeDocument/2006/relationships/table" Target="/xl/tables/table8.xml" Id="R59eb16585489425f" /></Relationships>
</file>

<file path=xl/worksheets/_rels/sheet10.xml.rels>&#65279;<?xml version="1.0" encoding="utf-8"?><Relationships xmlns="http://schemas.openxmlformats.org/package/2006/relationships"><Relationship Type="http://schemas.openxmlformats.org/officeDocument/2006/relationships/table" Target="/xl/tables/table9.xml" Id="Rec9de24bc10240e1" /></Relationships>
</file>

<file path=xl/worksheets/_rels/sheet11.xml.rels>&#65279;<?xml version="1.0" encoding="utf-8"?><Relationships xmlns="http://schemas.openxmlformats.org/package/2006/relationships"><Relationship Type="http://schemas.openxmlformats.org/officeDocument/2006/relationships/table" Target="/xl/tables/table10.xml" Id="R89e29c1d388a4212" /></Relationships>
</file>

<file path=xl/worksheets/_rels/sheet12.xml.rels>&#65279;<?xml version="1.0" encoding="utf-8"?><Relationships xmlns="http://schemas.openxmlformats.org/package/2006/relationships"><Relationship Type="http://schemas.openxmlformats.org/officeDocument/2006/relationships/table" Target="/xl/tables/table11.xml" Id="R5b7c3c0a8d914040" /></Relationships>
</file>

<file path=xl/worksheets/_rels/sheet13.xml.rels>&#65279;<?xml version="1.0" encoding="utf-8"?><Relationships xmlns="http://schemas.openxmlformats.org/package/2006/relationships"><Relationship Type="http://schemas.openxmlformats.org/officeDocument/2006/relationships/table" Target="/xl/tables/table12.xml" Id="R530a511da49547e8" /></Relationships>
</file>

<file path=xl/worksheets/sheet1.xml><?xml version="1.0" encoding="utf-8"?>
<x:worksheet xmlns:x="http://schemas.openxmlformats.org/spreadsheetml/2006/main">
  <x:sheetPr>
    <x:tabColor rgb="FF17334D"/>
  </x:sheetPr>
  <x:sheetViews>
    <x:sheetView showGridLines="0" workbookViewId="0">
      <x:pane ySplit="1" topLeftCell="A2" activePane="bottomLeft" state="frozen"/>
    </x:sheetView>
  </x:sheetViews>
  <x:sheetFormatPr defaultRowHeight="15"/>
  <x:cols>
    <x:col min="1" max="1" width="30" hidden="0" customWidth="1"/>
    <x:col min="2" max="2" width="48" hidden="0" customWidth="1"/>
    <x:col min="3" max="3" width="60" hidden="0" customWidth="1"/>
    <x:col min="4" max="4" width="60" hidden="0" customWidth="1"/>
  </x:cols>
  <x:sheetData>
    <x:row r="1" ht="38" hidden="0" customHeight="1">
      <x:c r="A1" s="20" t="str">
        <x:v>Category</x:v>
      </x:c>
      <x:c r="B1" s="20" t="str">
        <x:v>Default</x:v>
      </x:c>
      <x:c r="C1" s="20" t="str">
        <x:v>Use a specialist when</x:v>
      </x:c>
      <x:c r="D1" s="20" t="str">
        <x:v>Main caution</x:v>
      </x:c>
    </x:row>
    <x:row r="2" ht="24" hidden="0" customHeight="1">
      <x:c r="A2" s="3" t="str">
        <x:v>Foundations and UI kits</x:v>
      </x:c>
      <x:c r="B2" s="3" t="str">
        <x:v>shadcn/ui + Base UI or React Aria; Tailwind CSS + Style Dictionary</x:v>
      </x:c>
      <x:c r="C2" s="3" t="str">
        <x:v>Use React Aria for complex keyboard, combobox and date controls. Keep one behaviour system per component.</x:v>
      </x:c>
      <x:c r="D2" s="3" t="str">
        <x:v>Own the tokens, density and focus design. A copied component needs ongoing updates.</x:v>
      </x:c>
    </x:row>
    <x:row r="3" ht="24" hidden="0" customHeight="1">
      <x:c r="A3" s="8" t="str">
        <x:v>Motion and micro-interactions</x:v>
      </x:c>
      <x:c r="B3" s="8" t="str">
        <x:v>Motion; Anime.js for sequenced effects</x:v>
      </x:c>
      <x:c r="C3" s="8" t="str">
        <x:v>Use reduced-motion-safe transitions and explicit cancellation. Lenis only for art-directed storytelling.</x:v>
      </x:c>
      <x:c r="D3" s="8" t="str">
        <x:v>Avoid animating layout or running decorative loops in dense desktop screens.</x:v>
      </x:c>
    </x:row>
    <x:row r="4" ht="15" hidden="0" customHeight="1">
      <x:c r="A4" s="3" t="str">
        <x:v>Tables, panels and dashboards</x:v>
      </x:c>
      <x:c r="B4" s="3" t="str">
        <x:v>TanStack Table + Virtual; AG Grid Community; Dockview core</x:v>
      </x:c>
      <x:c r="C4" s="3" t="str">
        <x:v>Use a grid for spreadsheet-style editing; Dockview for workbench tabs and panes.</x:v>
      </x:c>
      <x:c r="D4" s="3" t="str">
        <x:v>AG Grid Enterprise and Dockview Enterprise are outside the free-core recommendation.</x:v>
      </x:c>
    </x:row>
    <x:row r="5" ht="24" hidden="0" customHeight="1">
      <x:c r="A5" s="8" t="str">
        <x:v>Charts and real-time data</x:v>
      </x:c>
      <x:c r="B5" s="8" t="str">
        <x:v>Recharts for everyday charts; ECharts for dense exploration; Lightweight Charts for trading</x:v>
      </x:c>
      <x:c r="C5" s="8" t="str">
        <x:v>Use imperative tick updates and batch incoming data; expose stale/reconnecting states.</x:v>
      </x:c>
      <x:c r="D5" s="8" t="str">
        <x:v>Renderer choice does not prove a dataset or update-rate capacity.</x:v>
      </x:c>
    </x:row>
    <x:row r="6" ht="15" hidden="0" customHeight="1">
      <x:c r="A6" s="3" t="str">
        <x:v>Maps and geospatial</x:v>
      </x:c>
      <x:c r="B6" s="3" t="str">
        <x:v>MapLibre GL JS + deck.gl; kepler.gl for exploration</x:v>
      </x:c>
      <x:c r="C6" s="3" t="str">
        <x:v>MapLibre handles the basemap; deck.gl handles large analytical layers.</x:v>
      </x:c>
      <x:c r="D6" s="3" t="str">
        <x:v>Tiles, styles, geocoding and commercial data have separate licences and costs.</x:v>
      </x:c>
    </x:row>
    <x:row r="7" ht="15" hidden="0" customHeight="1">
      <x:c r="A7" s="8" t="str">
        <x:v>3D and configurators</x:v>
      </x:c>
      <x:c r="B7" s="8" t="str">
        <x:v>React Three Fiber for custom scenes; model-viewer for one product</x:v>
      </x:c>
      <x:c r="C7" s="8" t="str">
        <x:v>Build real-time 3D when rotation, variants or material inspection helps a decision.</x:v>
      </x:c>
      <x:c r="D7" s="8" t="str">
        <x:v>Budget assets and resolution. Keep a poster and an accessible DOM alternative.</x:v>
      </x:c>
    </x:row>
    <x:row r="8" ht="24" hidden="0" customHeight="1">
      <x:c r="A8" s="3" t="str">
        <x:v>Canvas and collaboration</x:v>
      </x:c>
      <x:c r="B8" s="3" t="str">
        <x:v>Excalidraw or Konva; Yjs or Automerge for custom sync</x:v>
      </x:c>
      <x:c r="C8" s="3" t="str">
        <x:v>Choose a whiteboard app or drawing engine first, then design document and presence models.</x:v>
      </x:c>
      <x:c r="D8" s="3" t="str">
        <x:v>Yjs and Automerge are alternative architectures, not verified drop-in Excalidraw integrations. CRDTs still need transport, auth, storage and undo semantics.</x:v>
      </x:c>
    </x:row>
    <x:row r="9" ht="24" hidden="0" customHeight="1">
      <x:c r="A9" s="8" t="str">
        <x:v>Graphs and documents</x:v>
      </x:c>
      <x:c r="B9" s="8" t="str">
        <x:v>Sigma.js for networks; React Flow for editable workflows; Tiptap or Lexical for documents</x:v>
      </x:c>
      <x:c r="C9" s="8" t="str">
        <x:v>Separate graph exploration from node-based diagram editing.</x:v>
      </x:c>
      <x:c r="D9" s="8" t="str">
        <x:v>Graph layout cost, accessible alternatives and paid editor extensions need explicit choices.</x:v>
      </x:c>
    </x:row>
    <x:row r="10" ht="24" hidden="0" customHeight="1">
      <x:c r="A10" s="3" t="str">
        <x:v>Timelines and media editing</x:v>
      </x:c>
      <x:c r="B10" s="3" t="str">
        <x:v>OpenReel Video as a watch candidate; wavesurfer.js + Konva for custom timelines; FullCalendar / Schedule-X for scheduling</x:v>
      </x:c>
      <x:c r="C10" s="3" t="str">
        <x:v>Use a full editor source as a reference only after validating the actual media workflow. Scheduling and editing need different timeline models.</x:v>
      </x:c>
      <x:c r="D10" s="3" t="str">
        <x:v>OpenReel desktop is alpha. Its MIT application source does not relicense MediaBunny (MPL-2.0) or FFmpeg distributions. Waveforms are not a video engine.</x:v>
      </x:c>
    </x:row>
    <x:row r="11" ht="24" hidden="0" customHeight="1">
      <x:c r="A11" s="8" t="str">
        <x:v>AI agent interfaces</x:v>
      </x:c>
      <x:c r="B11" s="8" t="str">
        <x:v>assistant-ui + AI SDK; CopilotKit for actions and generative components; Monaco for diffs</x:v>
      </x:c>
      <x:c r="C11" s="8" t="str">
        <x:v>Show plans, tool status, source anchors and scoped human decisions. Stream components through an allowlist.</x:v>
      </x:c>
      <x:c r="D11" s="8" t="str">
        <x:v>Approval widgets and citations do not enforce authorization or prove correctness.</x:v>
      </x:c>
    </x:row>
    <x:row r="12" ht="24" hidden="0" customHeight="1">
      <x:c r="A12" s="3" t="str">
        <x:v>Marketing and references</x:v>
      </x:c>
      <x:c r="B12" s="3" t="str">
        <x:v>Magic UI free components + Motion; Geist, Spectrum and Primer for system detail</x:v>
      </x:c>
      <x:c r="C12" s="3" t="str">
        <x:v>Study Siteinspire, Landbook and Recent for visual direction, then inspect the original product.</x:v>
      </x:c>
      <x:c r="D12" s="3" t="str">
        <x:v>Marketing demos are references, not proof of application usability. Pro templates are excluded.</x:v>
      </x:c>
    </x:row>
    <x:row r="13" ht="24" hidden="0" customHeight="1">
      <x:c r="A13" s="3" t="str">
        <x:v>Second-pass gap fillers</x:v>
      </x:c>
      <x:c r="B13" s="3" t="str">
        <x:v>nuqs; Novu Inbox; PixiJS; Loro; json-render; Thesys OpenUI</x:v>
      </x:c>
      <x:c r="C13" s="3" t="str">
        <x:v>Use URL state, durable notifications, GPU 2D, structured local-first sync or constrained generative UI when the brief needs those jobs.</x:v>
      </x:c>
      <x:c r="D13" s="3" t="str">
        <x:v>These extend specific roles. A new addition is not automatically a better default than a mature existing tool.</x:v>
      </x:c>
    </x:row>
    <x:row r="16" ht="26.399999618530273" hidden="0" customHeight="1">
      <x:c r="A16" s="25" t="str">
        <x:v>Second-pass selection</x:v>
      </x:c>
      <x:c r="B16" s="24" t="str">
        <x:v>Open the Choose a resource tab, select a scenario/role/profile, then filter Decision matrix to candidate rows.</x:v>
      </x:c>
    </x:row>
    <x:row r="17" ht="26.399999618530273" hidden="0" customHeight="1">
      <x:c r="A17" s="25" t="str">
        <x:v>Evidence limits</x:v>
      </x:c>
      <x:c r="B17" s="24" t="str">
        <x:v>Scores are editorial. Scale is architectural suitability. No new same-task performance or accessibility benchmark was run.</x:v>
      </x:c>
    </x:row>
  </x:sheetData>
  <x:pageMargins left="0.7" right="0.7" top="0.75" bottom="0.75" header="0.3" footer="0.3"/>
  <x:tableParts count="1">
    <x:tablePart xmlns:r="http://schemas.openxmlformats.org/officeDocument/2006/relationships" r:id="Rb45453b316184209"/>
  </x:tableParts>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26" hidden="0" customWidth="1"/>
    <x:col min="3" max="3" width="19" hidden="0" customWidth="1"/>
    <x:col min="4" max="4" width="26" hidden="0" customWidth="1"/>
    <x:col min="5" max="5" width="65" hidden="0" customWidth="1"/>
    <x:col min="6" max="6" width="65" hidden="0" customWidth="1"/>
    <x:col min="7" max="7" width="65" hidden="0" customWidth="1"/>
    <x:col min="8" max="8" width="26" hidden="0" customWidth="1"/>
    <x:col min="9" max="9" width="19" hidden="0" customWidth="1"/>
    <x:col min="10" max="10" width="55" hidden="0" customWidth="1"/>
    <x:col min="11" max="11" width="55" hidden="0" customWidth="1"/>
    <x:col min="12" max="12" width="65" hidden="0" customWidth="1"/>
    <x:col min="13" max="13" width="65" hidden="0" customWidth="1"/>
    <x:col min="14" max="14" width="19" hidden="0" customWidth="1"/>
    <x:col min="15" max="15" width="55" hidden="0" customWidth="1"/>
    <x:col min="16" max="16" width="65" hidden="0" customWidth="1"/>
    <x:col min="17" max="17" width="65" hidden="0" customWidth="1"/>
    <x:col min="18" max="18" width="65" hidden="0" customWidth="1"/>
    <x:col min="19" max="19" width="26" hidden="0" customWidth="1"/>
    <x:col min="20" max="20" width="26" hidden="0" customWidth="1"/>
    <x:col min="21" max="21" width="26" hidden="0" customWidth="1"/>
    <x:col min="22" max="22" width="65" hidden="0" customWidth="1"/>
    <x:col min="23" max="23" width="19" hidden="0" customWidth="1"/>
    <x:col min="24" max="24" width="19" hidden="0" customWidth="1"/>
    <x:col min="25" max="25" width="26" hidden="0" customWidth="1"/>
    <x:col min="26" max="26" width="65" hidden="0" customWidth="1"/>
    <x:col min="27" max="27" width="55" hidden="0" customWidth="1"/>
    <x:col min="28" max="28" width="65" hidden="0" customWidth="1"/>
    <x:col min="29" max="29" width="65" hidden="0" customWidth="1"/>
    <x:col min="30" max="30" width="65" hidden="0" customWidth="1"/>
    <x:col min="31" max="31" width="65" hidden="0" customWidth="1"/>
    <x:col min="32" max="32" width="65" hidden="0" customWidth="1"/>
    <x:col min="33" max="33" width="28" hidden="0" customWidth="1"/>
    <x:col min="34" max="34" width="21" hidden="0" customWidth="1"/>
    <x:col min="35" max="35" width="15" hidden="0" customWidth="1"/>
    <x:col min="36" max="36" width="15" hidden="0" customWidth="1"/>
    <x:col min="37" max="37" width="15" hidden="0" customWidth="1"/>
    <x:col min="38" max="38" width="15" hidden="0" customWidth="1"/>
    <x:col min="39" max="39" width="15" hidden="0" customWidth="1"/>
    <x:col min="40" max="40" width="15" hidden="0" customWidth="1"/>
    <x:col min="41" max="41" width="15" hidden="0" customWidth="1"/>
    <x:col min="42" max="42" width="15" hidden="0" customWidth="1"/>
    <x:col min="43" max="43" width="18" hidden="0" customWidth="1"/>
    <x:col min="44" max="44" width="75" hidden="0" customWidth="1"/>
    <x:col min="45" max="45" width="75" hidden="0" customWidth="1"/>
    <x:col min="46" max="46" width="55" hidden="0" customWidth="1"/>
    <x:col min="47" max="47" width="60" hidden="0" customWidth="1"/>
    <x:col min="48" max="48" width="75" hidden="0" customWidth="1"/>
    <x:col min="49" max="49" width="23" hidden="0" customWidth="1"/>
    <x:col min="50" max="50" width="30" hidden="0" customWidth="1"/>
  </x:cols>
  <x:sheetData>
    <x:row r="1" ht="38" hidden="0" customHeight="1">
      <x:c r="A1" s="20" t="str">
        <x:v>Resource ID</x:v>
      </x:c>
      <x:c r="B1" s="20" t="str">
        <x:v>Name</x:v>
      </x:c>
      <x:c r="C1" s="20" t="str">
        <x:v>Recommendation</x:v>
      </x:c>
      <x:c r="D1" s="20" t="str">
        <x:v>Category</x:v>
      </x:c>
      <x:c r="E1" s="20" t="str">
        <x:v>Category tags</x:v>
      </x:c>
      <x:c r="F1" s="20" t="str">
        <x:v>Scenario tags</x:v>
      </x:c>
      <x:c r="G1" s="20" t="str">
        <x:v>Best at</x:v>
      </x:c>
      <x:c r="H1" s="20" t="str">
        <x:v>Licence / scope</x:v>
      </x:c>
      <x:c r="I1" s="20" t="str">
        <x:v>Licence class</x:v>
      </x:c>
      <x:c r="J1" s="20" t="str">
        <x:v>Repository</x:v>
      </x:c>
      <x:c r="K1" s="20" t="str">
        <x:v>Documentation</x:v>
      </x:c>
      <x:c r="L1" s="20" t="str">
        <x:v>React / Next fit</x:v>
      </x:c>
      <x:c r="M1" s="20" t="str">
        <x:v>Tech stack</x:v>
      </x:c>
      <x:c r="N1" s="20" t="str">
        <x:v>Visual quality / 5</x:v>
      </x:c>
      <x:c r="O1" s="20" t="str">
        <x:v>Best demo</x:v>
      </x:c>
      <x:c r="P1" s="20" t="str">
        <x:v>Visual assessment basis</x:v>
      </x:c>
      <x:c r="Q1" s="20" t="str">
        <x:v>Performance notes</x:v>
      </x:c>
      <x:c r="R1" s="20" t="str">
        <x:v>Limitations / risks</x:v>
      </x:c>
      <x:c r="S1" s="20" t="str">
        <x:v>Last release date</x:v>
      </x:c>
      <x:c r="T1" s="20" t="str">
        <x:v>Release tag</x:v>
      </x:c>
      <x:c r="U1" s="20" t="str">
        <x:v>Last meaningful commit</x:v>
      </x:c>
      <x:c r="V1" s="20" t="str">
        <x:v>Maintenance signal</x:v>
      </x:c>
      <x:c r="W1" s="20" t="str">
        <x:v>Six-month gate</x:v>
      </x:c>
      <x:c r="X1" s="20" t="str">
        <x:v>GitHub stars approx.</x:v>
      </x:c>
      <x:c r="Y1" s="20" t="str">
        <x:v>Stars as of</x:v>
      </x:c>
      <x:c r="Z1" s="20" t="str">
        <x:v>Backing / community</x:v>
      </x:c>
      <x:c r="AA1" s="20" t="str">
        <x:v>Licence source</x:v>
      </x:c>
      <x:c r="AB1" s="20" t="str">
        <x:v>Maintenance sources</x:v>
      </x:c>
      <x:c r="AC1" s="20" t="str">
        <x:v>Other primary sources</x:v>
      </x:c>
      <x:c r="AD1" s="20" t="str">
        <x:v>Visual review scope</x:v>
      </x:c>
      <x:c r="AE1" s="20" t="str">
        <x:v>Notes</x:v>
      </x:c>
      <x:c r="AF1" s="20" t="str">
        <x:v>Verified on</x:v>
      </x:c>
      <x:c r="AG1" s="20" t="str">
        <x:v>Decision role</x:v>
      </x:c>
      <x:c r="AH1" s="20" t="str">
        <x:v>Balanced score (fixed /100)</x:v>
      </x:c>
      <x:c r="AI1" s="20" t="str">
        <x:v>Score: visual /5</x:v>
      </x:c>
      <x:c r="AJ1" s="20" t="str">
        <x:v>Score: interaction /5</x:v>
      </x:c>
      <x:c r="AK1" s="20" t="str">
        <x:v>Score: accessibility /5</x:v>
      </x:c>
      <x:c r="AL1" s="20" t="str">
        <x:v>Score: scale /5</x:v>
      </x:c>
      <x:c r="AM1" s="20" t="str">
        <x:v>Score: react_next /5</x:v>
      </x:c>
      <x:c r="AN1" s="20" t="str">
        <x:v>Score: docs /5</x:v>
      </x:c>
      <x:c r="AO1" s="20" t="str">
        <x:v>Score: health /5</x:v>
      </x:c>
      <x:c r="AP1" s="20" t="str">
        <x:v>Score: ease /5</x:v>
      </x:c>
      <x:c r="AQ1" s="20" t="str">
        <x:v>Setup effort</x:v>
      </x:c>
      <x:c r="AR1" s="20" t="str">
        <x:v>Use when</x:v>
      </x:c>
      <x:c r="AS1" s="20" t="str">
        <x:v>Avoid / prefer an alternative</x:v>
      </x:c>
      <x:c r="AT1" s="20" t="str">
        <x:v>Compare options / related layers</x:v>
      </x:c>
      <x:c r="AU1" s="20" t="str">
        <x:v>Additional example URL</x:v>
      </x:c>
      <x:c r="AV1" s="20" t="str">
        <x:v>Example moment</x:v>
      </x:c>
      <x:c r="AW1" s="20" t="str">
        <x:v>Evidence confidence</x:v>
      </x:c>
      <x:c r="AX1" s="20" t="str">
        <x:v>Selection gate</x:v>
      </x:c>
    </x:row>
    <x:row r="2" ht="36" hidden="0" customHeight="1">
      <x:c r="A2" s="3" t="str">
        <x:v>model-viewer</x:v>
      </x:c>
      <x:c r="B2" s="3" t="str">
        <x:v>&lt;model-viewer&gt;</x:v>
      </x:c>
      <x:c r="C2" s="3" t="str">
        <x:v>core</x:v>
      </x:c>
      <x:c r="D2" s="3" t="str">
        <x:v>3D and WebGPU</x:v>
      </x:c>
      <x:c r="E2" s="3" t="str">
        <x:v>D1; D6</x:v>
      </x:c>
      <x:c r="F2" s="3" t="str">
        <x:v>product_configurators; landing_pages</x:v>
      </x:c>
      <x:c r="G2" s="3" t="str">
        <x:v>A low-integration 3D product viewer with material variants, hotspots and AR handoff.</x:v>
      </x:c>
      <x:c r="H2" s="3" t="str">
        <x:v>Apache-2.0</x:v>
      </x:c>
      <x:c r="I2" s="3" t="str">
        <x:v>permissive</x:v>
      </x:c>
      <x:c r="J2" s="3" t="str">
        <x:v>https://github.com/google/model-viewer</x:v>
      </x:c>
      <x:c r="K2" s="3" t="str">
        <x:v>https://modelviewer.dev/</x:v>
      </x:c>
      <x:c r="L2" s="3" t="str">
        <x:v>Good: web component works in React/Next client boundary; wire custom events and typed element refs.</x:v>
      </x:c>
      <x:c r="M2" s="3" t="str">
        <x:v>Web Component; TypeScript; Three.js</x:v>
      </x:c>
      <x:c r="N2" s="9" t="n">
        <x:v>4</x:v>
      </x:c>
      <x:c r="O2" s="3" t="str">
        <x:v>https://modelviewer.dev/examples/scenegraph/</x:v>
      </x:c>
      <x:c r="P2" s="3" t="str">
        <x:v>Official material/variant scene documentation reviewed; demo model did not finish loading in this browser session, so visual score is provisional.</x:v>
      </x:c>
      <x:c r="Q2" s="3" t="str">
        <x:v>Lazy-load compressed GLB/textures, use poster/loading affordances, and avoid oversized environments. Hardware and AR support vary.</x:v>
      </x:c>
      <x:c r="R2" s="3" t="str">
        <x:v>AR is a handoff and device-dependent; complex multi-part/constraint configurators need custom scene logic. Checkout/stock/pricing are separate.</x:v>
      </x:c>
      <x:c r="S2" s="11" t="d">
        <x:v>2026-10-09T12:00:00.000Z</x:v>
      </x:c>
      <x:c r="T2" s="3" t="str">
        <x:v>v4.4.0</x:v>
      </x:c>
      <x:c r="U2" s="11" t="str"/>
      <x:c r="V2" s="3" t="str">
        <x:v>pass: release inside 2026-04-17–2026-10-17</x:v>
      </x:c>
      <x:c r="W2" s="3" t="str">
        <x:v>pass</x:v>
      </x:c>
      <x:c r="X2" s="9" t="n">
        <x:v>8300</x:v>
      </x:c>
      <x:c r="Y2" s="11" t="d">
        <x:v>2026-10-17T12:00:00.000Z</x:v>
      </x:c>
      <x:c r="Z2" s="3" t="str">
        <x:v>Google and community</x:v>
      </x:c>
      <x:c r="AA2" s="3" t="str">
        <x:v>https://github.com/google/model-viewer/blob/master/LICENSE</x:v>
      </x:c>
      <x:c r="AB2" s="3" t="str">
        <x:v>https://github.com/google/model-viewer/releases/tag/v4.4.0</x:v>
      </x:c>
      <x:c r="AC2" s="3" t="str">
        <x:v>https://modelviewer.dev/; https://modelviewer.dev/examples/scenegraph/; https://api.github.com/repos/google/model-viewer; https://github.com/google/model-viewer/blob/master/LICENSE</x:v>
      </x:c>
      <x:c r="AD2" s="3" t="str">
        <x:v>Editorial assessment of linked official output/docs; interaction and frame rate not benchmarked.</x:v>
      </x:c>
      <x:c r="AE2" s="3" t="str">
        <x:v>Retains handbook single-product viewer default. Apache-2.0 code does not grant rights to every showcased model.</x:v>
      </x:c>
      <x:c r="AF2" s="11" t="d">
        <x:v>2026-10-17T12:00:00.000Z</x:v>
      </x:c>
      <x:c r="AG2" s="3" t="str">
        <x:v>3D product viewer</x:v>
      </x:c>
      <x:c r="AH2" s="22" t="n">
        <x:v>78</x:v>
      </x:c>
      <x:c r="AI2" s="23" t="n">
        <x:v>4</x:v>
      </x:c>
      <x:c r="AJ2" s="23" t="n">
        <x:v>4</x:v>
      </x:c>
      <x:c r="AK2" s="23" t="n">
        <x:v>3</x:v>
      </x:c>
      <x:c r="AL2" s="23" t="n">
        <x:v>4</x:v>
      </x:c>
      <x:c r="AM2" s="23" t="n">
        <x:v>3</x:v>
      </x:c>
      <x:c r="AN2" s="23" t="n">
        <x:v>5</x:v>
      </x:c>
      <x:c r="AO2" s="23" t="n">
        <x:v>5</x:v>
      </x:c>
      <x:c r="AP2" s="23" t="n">
        <x:v>5</x:v>
      </x:c>
      <x:c r="AQ2" s="3" t="str">
        <x:v>low</x:v>
      </x:c>
      <x:c r="AR2" s="3" t="str">
        <x:v>Choose a ready-made viewer when the product needs orbit, hotspots or variants without a custom scene graph.</x:v>
      </x:c>
      <x:c r="AS2" s="3" t="str">
        <x:v>Use React Three Fiber when scene composition and application logic dominate.</x:v>
      </x:c>
      <x:c r="AT2" s="3" t="str">
        <x:v>React Three Fiber</x:v>
      </x:c>
      <x:c r="AU2" s="3" t="str">
        <x:v>https://modelviewer.dev/</x:v>
      </x:c>
      <x:c r="AV2" s="3" t="str">
        <x:v>Integration documentation; this link is guidance, not an additional live demonstration.</x:v>
      </x:c>
      <x:c r="AW2" s="3" t="str">
        <x:v>provisional</x:v>
      </x:c>
      <x:c r="AX2" s="3" t="str">
        <x:v>qualified_named_core_scope</x:v>
      </x:c>
    </x:row>
    <x:row r="3" ht="48" hidden="0" customHeight="1">
      <x:c r="A3" s="8" t="str">
        <x:v>ai_sdk</x:v>
      </x:c>
      <x:c r="B3" s="8" t="str">
        <x:v>AI SDK (Core + UI)</x:v>
      </x:c>
      <x:c r="C3" s="8" t="str">
        <x:v>core</x:v>
      </x:c>
      <x:c r="D3" s="8" t="str">
        <x:v>AI interface patterns</x:v>
      </x:c>
      <x:c r="E3" s="8" t="str">
        <x:v>E1; E2; E3; E4; E5</x:v>
      </x:c>
      <x:c r="F3" s="8" t="str">
        <x:v>ai_agents</x:v>
      </x:c>
      <x:c r="G3" s="8" t="str">
        <x:v>Typed streaming messages, tool states, approvals and custom UI across providers.</x:v>
      </x:c>
      <x:c r="H3" s="8" t="str">
        <x:v>Apache-2.0</x:v>
      </x:c>
      <x:c r="I3" s="8" t="str">
        <x:v>permissive</x:v>
      </x:c>
      <x:c r="J3" s="8" t="str">
        <x:v>https://github.com/vercel/ai</x:v>
      </x:c>
      <x:c r="K3" s="8" t="str">
        <x:v>https://ai-sdk.dev/docs/ai-sdk-ui/overview</x:v>
      </x:c>
      <x:c r="L3" s="8" t="str">
        <x:v>Excellent: React useChat and Next.js route handlers; pair headless runtime with shadcn/ui or assistant-ui.</x:v>
      </x:c>
      <x:c r="M3" s="8" t="str">
        <x:v>TypeScript; React/Vue/Svelte/Angular UI adapters; Node/web runtimes</x:v>
      </x:c>
      <x:c r="N3" s="10" t="n">
        <x:v>4</x:v>
      </x:c>
      <x:c r="O3" s="8" t="str">
        <x:v>https://ui.shadcn.com/docs/ai-elements/base/chat</x:v>
      </x:c>
      <x:c r="P3" s="8" t="str">
        <x:v>Headless SDK; 4/5 rates attainable output in the official shadcn/ui integration, not an intrinsic SDK skin.</x:v>
      </x:c>
      <x:c r="Q3" s="8" t="str">
        <x:v>UI update throttle documented; Oct16 release adds experimental lower-memory single-consumer streaming. Bound transcripts and costly markdown rendering.</x:v>
      </x:c>
      <x:c r="R3" s="8" t="str">
        <x:v>Provider inference remains paid. Tool approval needs server-side verification and application authorization; a client boolean is insufficient. RSC package is experimental and docs recommend UI for production.</x:v>
      </x:c>
      <x:c r="S3" s="12" t="d">
        <x:v>2026-10-16T12:00:00.000Z</x:v>
      </x:c>
      <x:c r="T3" s="8" t="str">
        <x:v>ai@7.0.143</x:v>
      </x:c>
      <x:c r="U3" s="12" t="d">
        <x:v>2026-10-16T12:00:00.000Z</x:v>
      </x:c>
      <x:c r="V3" s="8" t="str">
        <x:v>verified_active_within_6_months</x:v>
      </x:c>
      <x:c r="W3" s="8" t="str">
        <x:v>pass</x:v>
      </x:c>
      <x:c r="X3" s="10" t="n">
        <x:v>27400</x:v>
      </x:c>
      <x:c r="Y3" s="12" t="d">
        <x:v>2026-10-17T12:00:00.000Z</x:v>
      </x:c>
      <x:c r="Z3" s="8" t="str">
        <x:v>Vercel</x:v>
      </x:c>
      <x:c r="AA3" s="8" t="str">
        <x:v>https://github.com/vercel/ai/blob/main/LICENSE</x:v>
      </x:c>
      <x:c r="AB3" s="8" t="str">
        <x:v>https://api.github.com/repos/vercel/ai/releases?per_page=2; https://api.github.com/repos/vercel/ai/commits?per_page=1; https://github.com/vercel/ai/releases/tag/ai%407.0.143; https://github.com/vercel/ai/commit/fce9210c6405c0ad8452fee3f50717e8ea910b97</x:v>
      </x:c>
      <x:c r="AC3" s="8" t="str">
        <x:v>https://ai-sdk.dev/docs/ai-sdk-ui/chatbot; https://ai-sdk.dev/docs/ai-sdk-ui/chatbot-tool-usage; https://ai-sdk.dev/docs/ai-sdk-ui/generative-user-interfaces; https://ai-sdk.dev/docs/ai-sdk-rsc/overview; https://github.com/vercel/ai/blob/main/LICENSE; https://ui.shadcn.com/docs/ai-elements/base/chat</x:v>
      </x:c>
      <x:c r="AD3" s="8" t="str">
        <x:v>Editorial assessment of linked official output/docs; interaction and frame rate not benchmarked.</x:v>
      </x:c>
      <x:c r="AE3" s="8" t="str">
        <x:v>Current major verified v7. Prefer typed tool-to-component rendering over arbitrary executable model output.</x:v>
      </x:c>
      <x:c r="AF3" s="12" t="d">
        <x:v>2026-10-17T12:00:00.000Z</x:v>
      </x:c>
      <x:c r="AG3" s="3" t="str">
        <x:v>Agent runtime</x:v>
      </x:c>
      <x:c r="AH3" s="22" t="n">
        <x:v>92.3</x:v>
      </x:c>
      <x:c r="AI3" s="23"/>
      <x:c r="AJ3" s="23" t="n">
        <x:v>5</x:v>
      </x:c>
      <x:c r="AK3" s="23"/>
      <x:c r="AL3" s="23" t="n">
        <x:v>4</x:v>
      </x:c>
      <x:c r="AM3" s="23" t="n">
        <x:v>5</x:v>
      </x:c>
      <x:c r="AN3" s="23" t="n">
        <x:v>5</x:v>
      </x:c>
      <x:c r="AO3" s="23" t="n">
        <x:v>5</x:v>
      </x:c>
      <x:c r="AP3" s="23" t="n">
        <x:v>3</x:v>
      </x:c>
      <x:c r="AQ3" s="3" t="str">
        <x:v>medium</x:v>
      </x:c>
      <x:c r="AR3" s="3" t="str">
        <x:v>Choose when you need a provider-neutral stream/tool protocol and own the React interface.</x:v>
      </x:c>
      <x:c r="AS3" s="3" t="str">
        <x:v>It does not supply the complete agent workbench, permission model or audit UI.</x:v>
      </x:c>
      <x:c r="AT3" s="3" t="str">
        <x:v>assistant-ui; CopilotKit (MIT SDKs and TypeScript runtime); json-render</x:v>
      </x:c>
      <x:c r="AU3" s="3" t="str">
        <x:v>https://ai-sdk.dev/docs/ai-sdk-ui/overview</x:v>
      </x:c>
      <x:c r="AV3" s="3" t="str">
        <x:v>Integration documentation; this link is guidance, not an additional live demonstration.</x:v>
      </x:c>
      <x:c r="AW3" s="3" t="str">
        <x:v>documented</x:v>
      </x:c>
      <x:c r="AX3" s="3" t="str">
        <x:v>qualified_named_core_scope</x:v>
      </x:c>
    </x:row>
    <x:row r="4" ht="36" hidden="0" customHeight="1">
      <x:c r="A4" s="3" t="str">
        <x:v>echarts</x:v>
      </x:c>
      <x:c r="B4" s="3" t="str">
        <x:v>Apache ECharts</x:v>
      </x:c>
      <x:c r="C4" s="3" t="str">
        <x:v>core</x:v>
      </x:c>
      <x:c r="D4" s="3" t="str">
        <x:v>Charts and data visualisation</x:v>
      </x:c>
      <x:c r="E4" s="3" t="str">
        <x:v>C1; C2; C4; C6</x:v>
      </x:c>
      <x:c r="F4" s="3" t="str">
        <x:v>simple_charts; kpi_dashboards; realtime_trading; network_graphs</x:v>
      </x:c>
      <x:c r="G4" s="3" t="str">
        <x:v>Broad interactive analytics with zoom, coordinated views and Canvas rendering.</x:v>
      </x:c>
      <x:c r="H4" s="3" t="str">
        <x:v>Apache-2.0</x:v>
      </x:c>
      <x:c r="I4" s="3" t="str">
        <x:v>permissive</x:v>
      </x:c>
      <x:c r="J4" s="3" t="str">
        <x:v>https://github.com/apache/echarts</x:v>
      </x:c>
      <x:c r="K4" s="3" t="str">
        <x:v>https://echarts.apache.org/handbook/en/get-started/</x:v>
      </x:c>
      <x:c r="L4" s="3" t="str">
        <x:v>Good: mount an imperative chart in a client component; dispose on unmount and resize with its panel.</x:v>
      </x:c>
      <x:c r="M4" s="3" t="str">
        <x:v>TypeScript; framework-agnostic Canvas/SVG</x:v>
      </x:c>
      <x:c r="N4" s="9" t="n">
        <x:v>4</x:v>
      </x:c>
      <x:c r="O4" s="3" t="str">
        <x:v>https://echarts.apache.org/examples/en/index.html</x:v>
      </x:c>
      <x:c r="P4" s="3" t="str">
        <x:v>Editorial potential from official example collection; existing handbook choice retained, not rescored by benchmark.</x:v>
      </x:c>
      <x:c r="Q4" s="3" t="str">
        <x:v>Canvas renderer and progressive/large-series options suit denser data; select modules and aggregate before drawing. No workload benchmark performed.</x:v>
      </x:c>
      <x:c r="R4" s="3" t="str">
        <x:v>Dense option API; generator must supply modern typography/tokens, accessible summaries, sampling and update policy.</x:v>
      </x:c>
      <x:c r="S4" s="11" t="d">
        <x:v>2026-05-19T12:00:00.000Z</x:v>
      </x:c>
      <x:c r="T4" s="3" t="str">
        <x:v>6.1.0</x:v>
      </x:c>
      <x:c r="U4" s="11" t="str"/>
      <x:c r="V4" s="3" t="str">
        <x:v>pass: release inside 2026-04-17–2026-10-17</x:v>
      </x:c>
      <x:c r="W4" s="3" t="str">
        <x:v>pass</x:v>
      </x:c>
      <x:c r="X4" s="9" t="n">
        <x:v>67500</x:v>
      </x:c>
      <x:c r="Y4" s="11" t="d">
        <x:v>2026-10-17T12:00:00.000Z</x:v>
      </x:c>
      <x:c r="Z4" s="3" t="str">
        <x:v>Apache Software Foundation; community</x:v>
      </x:c>
      <x:c r="AA4" s="3" t="str">
        <x:v>https://github.com/apache/echarts/blob/master/LICENSE</x:v>
      </x:c>
      <x:c r="AB4" s="3" t="str">
        <x:v>https://github.com/apache/echarts/releases/tag/6.1.0</x:v>
      </x:c>
      <x:c r="AC4" s="3" t="str">
        <x:v>https://echarts.apache.org/handbook/en/get-started/; https://echarts.apache.org/examples/en/index.html; https://api.github.com/repos/apache/echarts; https://github.com/apache/echarts/blob/master/LICENSE</x:v>
      </x:c>
      <x:c r="AD4" s="3" t="str">
        <x:v>Editorial assessment of linked official output/docs; interaction and frame rate not benchmarked.</x:v>
      </x:c>
      <x:c r="AE4" s="3" t="str">
        <x:v>Retains handbook heavy-analytics default; graph series is a lighter fallback to specialist network tooling.</x:v>
      </x:c>
      <x:c r="AF4" s="11" t="d">
        <x:v>2026-10-17T12:00:00.000Z</x:v>
      </x:c>
      <x:c r="AG4" s="3" t="str">
        <x:v>Chart renderer</x:v>
      </x:c>
      <x:c r="AH4" s="22" t="n">
        <x:v>82</x:v>
      </x:c>
      <x:c r="AI4" s="23" t="n">
        <x:v>4</x:v>
      </x:c>
      <x:c r="AJ4" s="23" t="n">
        <x:v>5</x:v>
      </x:c>
      <x:c r="AK4" s="23" t="n">
        <x:v>3</x:v>
      </x:c>
      <x:c r="AL4" s="23" t="n">
        <x:v>5</x:v>
      </x:c>
      <x:c r="AM4" s="23" t="n">
        <x:v>3</x:v>
      </x:c>
      <x:c r="AN4" s="23" t="n">
        <x:v>5</x:v>
      </x:c>
      <x:c r="AO4" s="23" t="n">
        <x:v>5</x:v>
      </x:c>
      <x:c r="AP4" s="23" t="n">
        <x:v>3</x:v>
      </x:c>
      <x:c r="AQ4" s="3" t="str">
        <x:v>medium</x:v>
      </x:c>
      <x:c r="AR4" s="3" t="str">
        <x:v>Prefer over Recharts for built-in zoom, brush, linked views and specialist analytical chart types.</x:v>
      </x:c>
      <x:c r="AS4" s="3" t="str">
        <x:v>Prefer Recharts for simple JSX-native product charts; use a dedicated finance renderer for trading ergonomics.</x:v>
      </x:c>
      <x:c r="AT4" s="3" t="str">
        <x:v>Recharts; Lightweight Charts</x:v>
      </x:c>
      <x:c r="AU4" s="3" t="str">
        <x:v>https://echarts.apache.org/handbook/en/get-started/</x:v>
      </x:c>
      <x:c r="AV4" s="3" t="str">
        <x:v>Integration documentation; this link is guidance, not an additional live demonstration.</x:v>
      </x:c>
      <x:c r="AW4" s="3" t="str">
        <x:v>documented</x:v>
      </x:c>
      <x:c r="AX4" s="3" t="str">
        <x:v>qualified_named_core_scope</x:v>
      </x:c>
    </x:row>
    <x:row r="5" ht="72" hidden="0" customHeight="1">
      <x:c r="A5" s="8" t="str">
        <x:v>assistant_ui</x:v>
      </x:c>
      <x:c r="B5" s="8" t="str">
        <x:v>assistant-ui</x:v>
      </x:c>
      <x:c r="C5" s="8" t="str">
        <x:v>core</x:v>
      </x:c>
      <x:c r="D5" s="8" t="str">
        <x:v>AI interface patterns</x:v>
      </x:c>
      <x:c r="E5" s="8" t="str">
        <x:v>E1; E2; E3; E4; E5</x:v>
      </x:c>
      <x:c r="F5" s="8" t="str">
        <x:v>ai_agents</x:v>
      </x:c>
      <x:c r="G5" s="8" t="str">
        <x:v>Composable desktop chat with streaming, branching, tool cards and human input.</x:v>
      </x:c>
      <x:c r="H5" s="8" t="str">
        <x:v>MIT</x:v>
      </x:c>
      <x:c r="I5" s="8" t="str">
        <x:v>permissive</x:v>
      </x:c>
      <x:c r="J5" s="8" t="str">
        <x:v>https://github.com/assistant-ui/assistant-ui</x:v>
      </x:c>
      <x:c r="K5" s="8" t="str">
        <x:v>https://www.assistant-ui.com/docs</x:v>
      </x:c>
      <x:c r="L5" s="8" t="str">
        <x:v>Excellent: React primitives and AI SDK runtime; Next.js route integration. Match adapter/package versions.</x:v>
      </x:c>
      <x:c r="M5" s="8" t="str">
        <x:v>TypeScript; React; Vue/React Native/Ink surfaces; pluggable agent runtimes</x:v>
      </x:c>
      <x:c r="N5" s="10" t="n">
        <x:v>4</x:v>
      </x:c>
      <x:c r="O5" s="8" t="str">
        <x:v>https://www.assistant-ui.com/elements/thread</x:v>
      </x:c>
      <x:c r="P5" s="8" t="str">
        <x:v>Rendered official Thread demo inspected: restrained typography, rounded composer, unobtrusive message actions. 4/5 is presentation quality, not measured smoothness.</x:v>
      </x:c>
      <x:c r="Q5" s="8" t="str">
        <x:v>Granular runtime state and streaming support; long threads, code blocks and many concurrent tool cards still need profiling/virtualization.</x:v>
      </x:c>
      <x:c r="R5" s="8" t="str">
        <x:v>Backend authorizes effects; approval persistence is host-owned. Generative UI interaction logging is best effort, not an audit ledger. Cloud is optional with separate terms.</x:v>
      </x:c>
      <x:c r="S5" s="12" t="d">
        <x:v>2026-10-15T12:00:00.000Z</x:v>
      </x:c>
      <x:c r="T5" s="8" t="str">
        <x:v>@assistant-ui/react@0.15.29</x:v>
      </x:c>
      <x:c r="U5" s="12" t="d">
        <x:v>2026-10-17T12:00:00.000Z</x:v>
      </x:c>
      <x:c r="V5" s="8" t="str">
        <x:v>verified_active_within_6_months</x:v>
      </x:c>
      <x:c r="W5" s="8" t="str">
        <x:v>pass</x:v>
      </x:c>
      <x:c r="X5" s="10" t="n">
        <x:v>12600</x:v>
      </x:c>
      <x:c r="Y5" s="12" t="d">
        <x:v>2026-10-17T12:00:00.000Z</x:v>
      </x:c>
      <x:c r="Z5" s="8" t="str">
        <x:v>AgentbaseAI Inc.</x:v>
      </x:c>
      <x:c r="AA5" s="8" t="str">
        <x:v>https://github.com/assistant-ui/assistant-ui/blob/main/LICENSE</x:v>
      </x:c>
      <x:c r="AB5" s="8" t="str">
        <x:v>https://api.github.com/repos/assistant-ui/assistant-ui/releases?per_page=2; https://api.github.com/repos/assistant-ui/assistant-ui/commits?per_page=1; https://github.com/assistant-ui/assistant-ui/releases/tag/tw-shimmer%400.4.14; https://github.com/assistant-ui/assistant-ui/commit/69bf91a6d5eb3c652ed6f2188dc6fb6934178e9b; https://github.com/assistant-ui/assistant-ui/releases/tag/%40assistant-ui/react%400.15.29; https://api.github.com/repos/assistant-ui/assistant-ui/releases?per_page=12</x:v>
      </x:c>
      <x:c r="AC5" s="8" t="str">
        <x:v>https://www.assistant-ui.com/elements/thread; https://www.assistant-ui.com/docs/tools/tool-ui; https://www.assistant-ui.com/docs/tools/generative-ui; https://github.com/assistant-ui/assistant-ui/blob/main/LICENSE</x:v>
      </x:c>
      <x:c r="AD5" s="8" t="str">
        <x:v>Official homepage/demo also visually inspected live on 2026-10-17; no interaction or frame-rate benchmark.</x:v>
      </x:c>
      <x:c r="AE5" s="8" t="str">
        <x:v>Server approval and human-input tools are distinct; expose real runtime capability instead of decorative buttons.</x:v>
      </x:c>
      <x:c r="AF5" s="12" t="d">
        <x:v>2026-10-17T12:00:00.000Z</x:v>
      </x:c>
      <x:c r="AG5" s="3" t="str">
        <x:v>Agent UI</x:v>
      </x:c>
      <x:c r="AH5" s="22" t="n">
        <x:v>88</x:v>
      </x:c>
      <x:c r="AI5" s="23" t="n">
        <x:v>4</x:v>
      </x:c>
      <x:c r="AJ5" s="23" t="n">
        <x:v>5</x:v>
      </x:c>
      <x:c r="AK5" s="23" t="n">
        <x:v>4</x:v>
      </x:c>
      <x:c r="AL5" s="23" t="n">
        <x:v>4</x:v>
      </x:c>
      <x:c r="AM5" s="23" t="n">
        <x:v>5</x:v>
      </x:c>
      <x:c r="AN5" s="23" t="n">
        <x:v>5</x:v>
      </x:c>
      <x:c r="AO5" s="23" t="n">
        <x:v>4</x:v>
      </x:c>
      <x:c r="AP5" s="23" t="n">
        <x:v>4</x:v>
      </x:c>
      <x:c r="AQ5" s="3" t="str">
        <x:v>medium</x:v>
      </x:c>
      <x:c r="AR5" s="3" t="str">
        <x:v>Prefer a complete composable chat runtime and accessible thread/composer primitives with your chosen backend.</x:v>
      </x:c>
      <x:c r="AS5" s="3" t="str">
        <x:v>Choose AI SDK alone when you want to own every UI state, or CopilotKit for app actions and shared state.</x:v>
      </x:c>
      <x:c r="AT5" s="3" t="str">
        <x:v>CopilotKit (MIT SDKs and TypeScript runtime); AI SDK (Core + UI)</x:v>
      </x:c>
      <x:c r="AU5" s="3" t="str">
        <x:v>https://www.assistant-ui.com/docs</x:v>
      </x:c>
      <x:c r="AV5" s="3" t="str">
        <x:v>Integration documentation; this link is guidance, not an additional live demonstration.</x:v>
      </x:c>
      <x:c r="AW5" s="3" t="str">
        <x:v>documented</x:v>
      </x:c>
      <x:c r="AX5" s="3" t="str">
        <x:v>qualified_named_core_scope</x:v>
      </x:c>
    </x:row>
    <x:row r="6" ht="24" hidden="0" customHeight="1">
      <x:c r="A6" s="3" t="str">
        <x:v>base_ui</x:v>
      </x:c>
      <x:c r="B6" s="3" t="str">
        <x:v>Base UI</x:v>
      </x:c>
      <x:c r="C6" s="3" t="str">
        <x:v>core</x:v>
      </x:c>
      <x:c r="D6" s="3" t="str">
        <x:v>Component libraries and UI kits</x:v>
      </x:c>
      <x:c r="E6" s="3" t="str">
        <x:v>A6; A7; A10; B1; B2; B4; B5; B7; B8; B10; F3</x:v>
      </x:c>
      <x:c r="F6" s="3" t="str">
        <x:v>simple_charts; kpi_dashboards; realtime_trading; live_maps; landing_pages; product_configurators; multiplayer_whiteboards; video_timelines; network_graphs; ai_agents</x:v>
      </x:c>
      <x:c r="G6" s="3" t="str">
        <x:v>Modern accessible headless controls, layered overlays and detailed interaction states.</x:v>
      </x:c>
      <x:c r="H6" s="3" t="str">
        <x:v>MIT</x:v>
      </x:c>
      <x:c r="I6" s="3" t="str">
        <x:v>permissive</x:v>
      </x:c>
      <x:c r="J6" s="3" t="str">
        <x:v>https://github.com/mui/base-ui</x:v>
      </x:c>
      <x:c r="K6" s="3" t="str">
        <x:v>https://base-ui.com/react/overview/quick-start</x:v>
      </x:c>
      <x:c r="L6" s="3" t="str">
        <x:v>Excellent; compose a custom React/Next design system, with client components for interaction.</x:v>
      </x:c>
      <x:c r="M6" s="3" t="str">
        <x:v>React/TypeScript; unstyled components</x:v>
      </x:c>
      <x:c r="N6" s="9" t="n">
        <x:v>4</x:v>
      </x:c>
      <x:c r="O6" s="3" t="str">
        <x:v>https://base-ui.com/react/components/dialog</x:v>
      </x:c>
      <x:c r="P6" s="3" t="str">
        <x:v>Editorial: restrained dialog demos and nested/close-confirmation examples; visual styling is supplied by the adopter.</x:v>
      </x:c>
      <x:c r="Q6" s="3" t="str">
        <x:v>Selective component imports; recent releases address inactive-trigger renders and large-list mounting. Benchmark your actual composition.</x:v>
      </x:c>
      <x:c r="R6" s="3" t="str">
        <x:v>No full visual theme or ready-made data grid. Accessibility still depends on labels, content and composition.</x:v>
      </x:c>
      <x:c r="S6" s="11" t="d">
        <x:v>2026-10-09T12:00:00.000Z</x:v>
      </x:c>
      <x:c r="T6" s="3" t="str">
        <x:v>v1.9.0</x:v>
      </x:c>
      <x:c r="U6" s="11" t="d">
        <x:v>2026-10-16T12:00:00.000Z</x:v>
      </x:c>
      <x:c r="V6" s="3" t="str">
        <x:v>verified_active_within_6_months</x:v>
      </x:c>
      <x:c r="W6" s="3" t="str">
        <x:v>pass</x:v>
      </x:c>
      <x:c r="X6" s="9" t="n">
        <x:v>11200</x:v>
      </x:c>
      <x:c r="Y6" s="11" t="d">
        <x:v>2026-10-17T12:00:00.000Z</x:v>
      </x:c>
      <x:c r="Z6" s="3" t="str">
        <x:v>MUI; creators of Radix, Floating UI and Material UI</x:v>
      </x:c>
      <x:c r="AA6" s="3" t="str">
        <x:v>https://github.com/mui/base-ui/blob/master/LICENSE</x:v>
      </x:c>
      <x:c r="AB6" s="3" t="str">
        <x:v>https://github.com/mui/base-ui/releases/tag/v1.9.0; https://github.com/mui/base-ui/commit/8e91039af173650b1acbb5061fa98fe76aaba52d</x:v>
      </x:c>
      <x:c r="AC6" s="3" t="str">
        <x:v>https://api.github.com/repos/mui/base-ui; https://github.com/mui/base-ui/blob/master/LICENSE; https://base-ui.com/react/overview/quick-start; https://base-ui.com/react/components/dialog</x:v>
      </x:c>
      <x:c r="AD6" s="3" t="str">
        <x:v>Editorial assessment of linked official output/docs; interaction and frame rate not benchmarked.</x:v>
      </x:c>
      <x:c r="AE6" s="3" t="str">
        <x:v>Stars are rounded from fresh GitHub API metadata; visual scores are editorial, not measured benchmarks.</x:v>
      </x:c>
      <x:c r="AF6" s="11" t="d">
        <x:v>2026-10-17T12:00:00.000Z</x:v>
      </x:c>
      <x:c r="AG6" s="3" t="str">
        <x:v>Accessible primitives</x:v>
      </x:c>
      <x:c r="AH6" s="22" t="n">
        <x:v>92</x:v>
      </x:c>
      <x:c r="AI6" s="23" t="n">
        <x:v>4</x:v>
      </x:c>
      <x:c r="AJ6" s="23" t="n">
        <x:v>5</x:v>
      </x:c>
      <x:c r="AK6" s="23" t="n">
        <x:v>5</x:v>
      </x:c>
      <x:c r="AL6" s="23" t="n">
        <x:v>4</x:v>
      </x:c>
      <x:c r="AM6" s="23" t="n">
        <x:v>5</x:v>
      </x:c>
      <x:c r="AN6" s="23" t="n">
        <x:v>5</x:v>
      </x:c>
      <x:c r="AO6" s="23" t="n">
        <x:v>5</x:v>
      </x:c>
      <x:c r="AP6" s="23" t="n">
        <x:v>4</x:v>
      </x:c>
      <x:c r="AQ6" s="3" t="str">
        <x:v>medium</x:v>
      </x:c>
      <x:c r="AR6" s="3" t="str">
        <x:v>Choose unstyled React controls when you want current focus/keyboard behaviour with total visual ownership.</x:v>
      </x:c>
      <x:c r="AS6" s="3" t="str">
        <x:v>Do not mix multiple behaviour libraries inside one complex control without checking focus and portal interactions.</x:v>
      </x:c>
      <x:c r="AT6" s="3" t="str">
        <x:v>React Aria Components; Radix Primitives; Ark UI</x:v>
      </x:c>
      <x:c r="AU6" s="3" t="str">
        <x:v>https://base-ui.com/react/overview/quick-start</x:v>
      </x:c>
      <x:c r="AV6" s="3" t="str">
        <x:v>Integration documentation; this link is guidance, not an additional live demonstration.</x:v>
      </x:c>
      <x:c r="AW6" s="3" t="str">
        <x:v>documented</x:v>
      </x:c>
      <x:c r="AX6" s="3" t="str">
        <x:v>qualified_named_core_scope</x:v>
      </x:c>
    </x:row>
    <x:row r="7" ht="24" hidden="0" customHeight="1">
      <x:c r="A7" s="8" t="str">
        <x:v>deck-gl</x:v>
      </x:c>
      <x:c r="B7" s="8" t="str">
        <x:v>deck.gl</x:v>
      </x:c>
      <x:c r="C7" s="8" t="str">
        <x:v>core</x:v>
      </x:c>
      <x:c r="D7" s="8" t="str">
        <x:v>Maps and geospatial</x:v>
      </x:c>
      <x:c r="E7" s="8" t="str">
        <x:v>C2; C3; C6; D1</x:v>
      </x:c>
      <x:c r="F7" s="8" t="str">
        <x:v>live_maps; kpi_dashboards; network_graphs</x:v>
      </x:c>
      <x:c r="G7" s="8" t="str">
        <x:v>Dense GPU-rendered geospatial layers and animated exploratory views.</x:v>
      </x:c>
      <x:c r="H7" s="8" t="str">
        <x:v>MIT</x:v>
      </x:c>
      <x:c r="I7" s="8" t="str">
        <x:v>permissive</x:v>
      </x:c>
      <x:c r="J7" s="8" t="str">
        <x:v>https://github.com/visgl/deck.gl</x:v>
      </x:c>
      <x:c r="K7" s="8" t="str">
        <x:v>https://deck.gl/docs</x:v>
      </x:c>
      <x:c r="L7" s="8" t="str">
        <x:v>Excellent React interface; client GPU boundary; compose with MapLibre and app controls.</x:v>
      </x:c>
      <x:c r="M7" s="8" t="str">
        <x:v>TypeScript; React or vanilla JS; WebGL2/WebGPU</x:v>
      </x:c>
      <x:c r="N7" s="10" t="n">
        <x:v>5</x:v>
      </x:c>
      <x:c r="O7" s="8" t="str">
        <x:v>https://deck.gl/</x:v>
      </x:c>
      <x:c r="P7" s="8" t="str">
        <x:v>Official map/layer showcase; editorial potential. Release 9.4 explicitly documents full official layer catalog WebGPU parity.</x:v>
      </x:c>
      <x:c r="Q7" s="8" t="str">
        <x:v>GPU attributes, instancing and layer composition suit large collections; avoid rebuilding data/attributes on every render. Benchmark browser/GPU and memory budget.</x:v>
      </x:c>
      <x:c r="R7" s="8" t="str">
        <x:v>GPU support and memory vary; picking/filtering/data preparation can still bottleneck. No accessible data table or complete map shell supplied.</x:v>
      </x:c>
      <x:c r="S7" s="12" t="d">
        <x:v>2026-09-05T12:00:00.000Z</x:v>
      </x:c>
      <x:c r="T7" s="8" t="str">
        <x:v>v9.4.0</x:v>
      </x:c>
      <x:c r="U7" s="12" t="str"/>
      <x:c r="V7" s="8" t="str">
        <x:v>pass: release inside 2026-04-17–2026-10-17</x:v>
      </x:c>
      <x:c r="W7" s="8" t="str">
        <x:v>pass</x:v>
      </x:c>
      <x:c r="X7" s="10" t="n">
        <x:v>14700</x:v>
      </x:c>
      <x:c r="Y7" s="12" t="d">
        <x:v>2026-10-17T12:00:00.000Z</x:v>
      </x:c>
      <x:c r="Z7" s="8" t="str">
        <x:v>vis.gl / OpenJS Foundation; community</x:v>
      </x:c>
      <x:c r="AA7" s="8" t="str">
        <x:v>https://github.com/visgl/deck.gl/blob/master/LICENSE</x:v>
      </x:c>
      <x:c r="AB7" s="8" t="str">
        <x:v>https://github.com/visgl/deck.gl/releases/tag/v9.4.0</x:v>
      </x:c>
      <x:c r="AC7" s="8" t="str">
        <x:v>https://deck.gl/docs; https://deck.gl/; https://api.github.com/repos/visgl/deck.gl; https://github.com/visgl/deck.gl/blob/master/LICENSE</x:v>
      </x:c>
      <x:c r="AD7" s="8" t="str">
        <x:v>Official homepage/demo also visually inspected live on 2026-10-17; no interaction or frame-rate benchmark.</x:v>
      </x:c>
      <x:c r="AE7" s="8" t="str">
        <x:v>Use MapLibre for basemap and deck.gl for analytical overlays; do not treat them as interchangeable.</x:v>
      </x:c>
      <x:c r="AF7" s="12" t="d">
        <x:v>2026-10-17T12:00:00.000Z</x:v>
      </x:c>
      <x:c r="AG7" s="3" t="str">
        <x:v>Geospatial layers</x:v>
      </x:c>
      <x:c r="AH7" s="22" t="n">
        <x:v>85</x:v>
      </x:c>
      <x:c r="AI7" s="23" t="n">
        <x:v>5</x:v>
      </x:c>
      <x:c r="AJ7" s="23" t="n">
        <x:v>5</x:v>
      </x:c>
      <x:c r="AK7" s="23" t="n">
        <x:v>2</x:v>
      </x:c>
      <x:c r="AL7" s="23" t="n">
        <x:v>5</x:v>
      </x:c>
      <x:c r="AM7" s="23" t="n">
        <x:v>4</x:v>
      </x:c>
      <x:c r="AN7" s="23" t="n">
        <x:v>5</x:v>
      </x:c>
      <x:c r="AO7" s="23" t="n">
        <x:v>5</x:v>
      </x:c>
      <x:c r="AP7" s="23" t="n">
        <x:v>2</x:v>
      </x:c>
      <x:c r="AQ7" s="3" t="str">
        <x:v>high</x:v>
      </x:c>
      <x:c r="AR7" s="3" t="str">
        <x:v>Add GPU analytical layers over MapLibre when point clouds, trips or dense geographic aggregation matter.</x:v>
      </x:c>
      <x:c r="AS7" s="3" t="str">
        <x:v>It is not a complete basemap service or a default time-series chart library.</x:v>
      </x:c>
      <x:c r="AT7" s="3" t="str">
        <x:v>kepler.gl</x:v>
      </x:c>
      <x:c r="AU7" s="3" t="str">
        <x:v>https://deck.gl/docs</x:v>
      </x:c>
      <x:c r="AV7" s="3" t="str">
        <x:v>Integration documentation; this link is guidance, not an additional live demonstration.</x:v>
      </x:c>
      <x:c r="AW7" s="3" t="str">
        <x:v>documented</x:v>
      </x:c>
      <x:c r="AX7" s="3" t="str">
        <x:v>qualified_named_core_scope</x:v>
      </x:c>
    </x:row>
    <x:row r="8" ht="36" hidden="0" customHeight="1">
      <x:c r="A8" s="3" t="str">
        <x:v>excalidraw</x:v>
      </x:c>
      <x:c r="B8" s="3" t="str">
        <x:v>Excalidraw</x:v>
      </x:c>
      <x:c r="C8" s="3" t="str">
        <x:v>core</x:v>
      </x:c>
      <x:c r="D8" s="3" t="str">
        <x:v>Canvas and collaboration</x:v>
      </x:c>
      <x:c r="E8" s="3" t="str">
        <x:v>D2; D3</x:v>
      </x:c>
      <x:c r="F8" s="3" t="str">
        <x:v>multiplayer_whiteboards; ai_agents</x:v>
      </x:c>
      <x:c r="G8" s="3" t="str">
        <x:v>A polished embeddable sketch canvas with connectors, shape tools and export.</x:v>
      </x:c>
      <x:c r="H8" s="3" t="str">
        <x:v>MIT</x:v>
      </x:c>
      <x:c r="I8" s="3" t="str">
        <x:v>permissive</x:v>
      </x:c>
      <x:c r="J8" s="3" t="str">
        <x:v>https://github.com/excalidraw/excalidraw</x:v>
      </x:c>
      <x:c r="K8" s="3" t="str">
        <x:v>https://docs.excalidraw.com/</x:v>
      </x:c>
      <x:c r="L8" s="3" t="str">
        <x:v>Strong embeddable React package; dynamic/client import and supplied CSS required.</x:v>
      </x:c>
      <x:c r="M8" s="3" t="str">
        <x:v>React; TypeScript; Canvas 2D</x:v>
      </x:c>
      <x:c r="N8" s="9" t="n">
        <x:v>4</x:v>
      </x:c>
      <x:c r="O8" s="3" t="str">
        <x:v>https://excalidraw.com/</x:v>
      </x:c>
      <x:c r="P8" s="3" t="str">
        <x:v>Live browser review 2026-10-17: floating tool strip, bottom zoom/history controls and clear first-use canvas; hand-drawn style is intentional.</x:v>
      </x:c>
      <x:c r="Q8" s="3" t="str">
        <x:v>Canvas avoids DOM-per-shape rendering but huge scenes, embedded images and collaboration bursts still need representative testing.</x:v>
      </x:c>
      <x:c r="R8" s="3" t="str">
        <x:v>Hosted application's collaboration is not an automatic feature of the embeddable package; integrate transport/persistence/security separately. Sketch visual language may not fit precision CAD.</x:v>
      </x:c>
      <x:c r="S8" s="11" t="d">
        <x:v>2026-04-21T12:00:00.000Z</x:v>
      </x:c>
      <x:c r="T8" s="3" t="str">
        <x:v>v0.18.1</x:v>
      </x:c>
      <x:c r="U8" s="11" t="str"/>
      <x:c r="V8" s="3" t="str">
        <x:v>pass: release inside 2026-04-17–2026-10-17</x:v>
      </x:c>
      <x:c r="W8" s="3" t="str">
        <x:v>pass</x:v>
      </x:c>
      <x:c r="X8" s="9" t="n">
        <x:v>134100</x:v>
      </x:c>
      <x:c r="Y8" s="11" t="d">
        <x:v>2026-10-17T12:00:00.000Z</x:v>
      </x:c>
      <x:c r="Z8" s="3" t="str">
        <x:v>Excalidraw team/community; Excalidraw+ commercial service</x:v>
      </x:c>
      <x:c r="AA8" s="3" t="str">
        <x:v>https://github.com/excalidraw/excalidraw/blob/master/LICENSE</x:v>
      </x:c>
      <x:c r="AB8" s="3" t="str">
        <x:v>https://github.com/excalidraw/excalidraw/releases/tag/v0.18.1</x:v>
      </x:c>
      <x:c r="AC8" s="3" t="str">
        <x:v>https://docs.excalidraw.com/; https://excalidraw.com/; https://api.github.com/repos/excalidraw/excalidraw; https://github.com/excalidraw/excalidraw/blob/master/LICENSE</x:v>
      </x:c>
      <x:c r="AD8" s="3" t="str">
        <x:v>Editorial assessment of linked official output/docs; interaction and frame rate not benchmarked.</x:v>
      </x:c>
      <x:c r="AE8" s="3" t="str">
        <x:v>Release 0.18.1 fixes Mermaid XSS; keep untrusted import/diagram conversion dependencies updated.</x:v>
      </x:c>
      <x:c r="AF8" s="11" t="d">
        <x:v>2026-10-17T12:00:00.000Z</x:v>
      </x:c>
      <x:c r="AG8" s="3" t="str">
        <x:v>Whiteboard application</x:v>
      </x:c>
      <x:c r="AH8" s="22" t="n">
        <x:v>77</x:v>
      </x:c>
      <x:c r="AI8" s="23" t="n">
        <x:v>4</x:v>
      </x:c>
      <x:c r="AJ8" s="23" t="n">
        <x:v>5</x:v>
      </x:c>
      <x:c r="AK8" s="23" t="n">
        <x:v>3</x:v>
      </x:c>
      <x:c r="AL8" s="23" t="n">
        <x:v>3</x:v>
      </x:c>
      <x:c r="AM8" s="23" t="n">
        <x:v>4</x:v>
      </x:c>
      <x:c r="AN8" s="23" t="n">
        <x:v>4</x:v>
      </x:c>
      <x:c r="AO8" s="23" t="n">
        <x:v>5</x:v>
      </x:c>
      <x:c r="AP8" s="23" t="n">
        <x:v>3</x:v>
      </x:c>
      <x:c r="AQ8" s="3" t="str">
        <x:v>high</x:v>
      </x:c>
      <x:c r="AR8" s="3" t="str">
        <x:v>Choose a recognisable complete whiteboard interaction model before designing your own drawing product.</x:v>
      </x:c>
      <x:c r="AS8" s="3" t="str">
        <x:v>Embedding the editor is not turnkey multiplayer hosting; choose Konva or PixiJS for a custom scene model.</x:v>
      </x:c>
      <x:c r="AT8" s="3" t="str">
        <x:v>Konva; PixiJS</x:v>
      </x:c>
      <x:c r="AU8" s="3" t="str">
        <x:v>https://docs.excalidraw.com/</x:v>
      </x:c>
      <x:c r="AV8" s="3" t="str">
        <x:v>Integration documentation; this link is guidance, not an additional live demonstration.</x:v>
      </x:c>
      <x:c r="AW8" s="3" t="str">
        <x:v>documented</x:v>
      </x:c>
      <x:c r="AX8" s="3" t="str">
        <x:v>qualified_named_core_scope</x:v>
      </x:c>
    </x:row>
    <x:row r="9" ht="36" hidden="0" customHeight="1">
      <x:c r="A9" s="8" t="str">
        <x:v>fontsource</x:v>
      </x:c>
      <x:c r="B9" s="8" t="str">
        <x:v>Fontsource</x:v>
      </x:c>
      <x:c r="C9" s="8" t="str">
        <x:v>core</x:v>
      </x:c>
      <x:c r="D9" s="8" t="str">
        <x:v>Component libraries and UI kits</x:v>
      </x:c>
      <x:c r="E9" s="8" t="str">
        <x:v>A2; A8</x:v>
      </x:c>
      <x:c r="F9" s="8" t="str">
        <x:v>simple_charts; kpi_dashboards; realtime_trading; live_maps; landing_pages; product_configurators; multiplayer_whiteboards; video_timelines; network_graphs; ai_agents</x:v>
      </x:c>
      <x:c r="G9" s="8" t="str">
        <x:v>Self-hosted variable font packages and script/weight subsets with reliable versioning.</x:v>
      </x:c>
      <x:c r="H9" s="8" t="str">
        <x:v>MIT tooling; font licences vary (Inter: SIL OFL-1.1)</x:v>
      </x:c>
      <x:c r="I9" s="8" t="str">
        <x:v>permissive</x:v>
      </x:c>
      <x:c r="J9" s="8" t="str">
        <x:v>https://github.com/fontsource/fontsource</x:v>
      </x:c>
      <x:c r="K9" s="8" t="str">
        <x:v>https://fontsource.org/docs</x:v>
      </x:c>
      <x:c r="L9" s="8" t="str">
        <x:v>Excellent; import selected font CSS or connect self-hosted font assets to the framework font pipeline.</x:v>
      </x:c>
      <x:c r="M9" s="8" t="str">
        <x:v>CSS/font packages; TypeScript tooling</x:v>
      </x:c>
      <x:c r="N9" s="10" t="n">
        <x:v>4</x:v>
      </x:c>
      <x:c r="O9" s="8" t="str">
        <x:v>https://fontsource.org/fonts/inter</x:v>
      </x:c>
      <x:c r="P9" s="8" t="str">
        <x:v>Editorial: Inter variable-font specimen; quality depends on the selected typeface and scale.</x:v>
      </x:c>
      <x:c r="Q9" s="8" t="str">
        <x:v>Subset scripts/weights and preload only critical fonts; reserve layout metrics to limit font swaps.</x:v>
      </x:c>
      <x:c r="R9" s="8" t="str">
        <x:v>MIT covers Fontsource tooling. Font binaries keep individual licences, commonly SIL OFL; verify each chosen family. Avoid duplicate framework/package loading.</x:v>
      </x:c>
      <x:c r="S9" s="12" t="d">
        <x:v>2026-10-12T12:00:00.000Z</x:v>
      </x:c>
      <x:c r="T9" s="8" t="str">
        <x:v>core-v0.6.1</x:v>
      </x:c>
      <x:c r="U9" s="12" t="d">
        <x:v>2026-10-14T12:00:00.000Z</x:v>
      </x:c>
      <x:c r="V9" s="8" t="str">
        <x:v>verified_active_within_6_months</x:v>
      </x:c>
      <x:c r="W9" s="8" t="str">
        <x:v>pass</x:v>
      </x:c>
      <x:c r="X9" s="10" t="n">
        <x:v>6200</x:v>
      </x:c>
      <x:c r="Y9" s="12" t="d">
        <x:v>2026-10-17T12:00:00.000Z</x:v>
      </x:c>
      <x:c r="Z9" s="8" t="str">
        <x:v>Fontsource open-source maintainers</x:v>
      </x:c>
      <x:c r="AA9" s="8" t="str">
        <x:v>https://github.com/fontsource/fontsource/blob/main/LICENSE</x:v>
      </x:c>
      <x:c r="AB9" s="8" t="str">
        <x:v>https://github.com/fontsource/fontsource/releases/tag/core-v0.6.1; https://github.com/fontsource/fontsource/commit/f7706ecae80020e5fd682fb1286a6567018e58e5</x:v>
      </x:c>
      <x:c r="AC9" s="8" t="str">
        <x:v>https://api.github.com/repos/fontsource/fontsource; https://github.com/fontsource/fontsource/blob/main/LICENSE; https://fontsource.org/docs; https://fontsource.org/fonts/inter</x:v>
      </x:c>
      <x:c r="AD9" s="8" t="str">
        <x:v>Editorial assessment of linked official output/docs; interaction and frame rate not benchmarked.</x:v>
      </x:c>
      <x:c r="AE9" s="8" t="str">
        <x:v>Latest release is Fontsource tooling; font binary licences are separate.</x:v>
      </x:c>
      <x:c r="AF9" s="12" t="d">
        <x:v>2026-10-17T12:00:00.000Z</x:v>
      </x:c>
      <x:c r="AG9" s="3" t="str">
        <x:v>Font assets</x:v>
      </x:c>
      <x:c r="AH9" s="22" t="n">
        <x:v>88.6</x:v>
      </x:c>
      <x:c r="AI9" s="23" t="n">
        <x:v>4</x:v>
      </x:c>
      <x:c r="AJ9" s="23"/>
      <x:c r="AK9" s="23"/>
      <x:c r="AL9" s="23" t="n">
        <x:v>4</x:v>
      </x:c>
      <x:c r="AM9" s="23" t="n">
        <x:v>5</x:v>
      </x:c>
      <x:c r="AN9" s="23" t="n">
        <x:v>5</x:v>
      </x:c>
      <x:c r="AO9" s="23" t="n">
        <x:v>4</x:v>
      </x:c>
      <x:c r="AP9" s="23" t="n">
        <x:v>5</x:v>
      </x:c>
      <x:c r="AQ9" s="3" t="str">
        <x:v>low</x:v>
      </x:c>
      <x:c r="AR9" s="3" t="str">
        <x:v>Choose self-hosted font packages to control font delivery, subsets and versioning.</x:v>
      </x:c>
      <x:c r="AS9" s="3" t="str">
        <x:v>Do not assume the tooling MIT licence applies to every font file or ship all weights by default.</x:v>
      </x:c>
      <x:c r="AT9" s="3" t="str"/>
      <x:c r="AU9" s="3" t="str">
        <x:v>https://fontsource.org/docs</x:v>
      </x:c>
      <x:c r="AV9" s="3" t="str">
        <x:v>Integration documentation; this link is guidance, not an additional live demonstration.</x:v>
      </x:c>
      <x:c r="AW9" s="3" t="str">
        <x:v>documented</x:v>
      </x:c>
      <x:c r="AX9" s="3" t="str">
        <x:v>qualified_named_core_scope</x:v>
      </x:c>
    </x:row>
    <x:row r="10" ht="24" hidden="0" customHeight="1">
      <x:c r="A10" s="3" t="str">
        <x:v>lexical</x:v>
      </x:c>
      <x:c r="B10" s="3" t="str">
        <x:v>Lexical</x:v>
      </x:c>
      <x:c r="C10" s="3" t="str">
        <x:v>core</x:v>
      </x:c>
      <x:c r="D10" s="3" t="str">
        <x:v>Canvas and collaboration</x:v>
      </x:c>
      <x:c r="E10" s="3" t="str">
        <x:v>D3; D4; D5; E1; E3</x:v>
      </x:c>
      <x:c r="F10" s="3" t="str">
        <x:v>ai_agents; video_timelines; multiplayer_whiteboards</x:v>
      </x:c>
      <x:c r="G10" s="3" t="str">
        <x:v>Accessible, extensible React editors, rich composers and editable transcripts.</x:v>
      </x:c>
      <x:c r="H10" s="3" t="str">
        <x:v>MIT</x:v>
      </x:c>
      <x:c r="I10" s="3" t="str">
        <x:v>permissive</x:v>
      </x:c>
      <x:c r="J10" s="3" t="str">
        <x:v>https://github.com/facebook/lexical</x:v>
      </x:c>
      <x:c r="K10" s="3" t="str">
        <x:v>https://lexical.dev/docs/intro</x:v>
      </x:c>
      <x:c r="L10" s="3" t="str">
        <x:v>Excellent React bindings; client editor and explicit serialisation/import boundaries.</x:v>
      </x:c>
      <x:c r="M10" s="3" t="str">
        <x:v>TypeScript; editor core; React bindings; modular plugins</x:v>
      </x:c>
      <x:c r="N10" s="9" t="n">
        <x:v>4</x:v>
      </x:c>
      <x:c r="O10" s="3" t="str">
        <x:v>https://lexical.dev/</x:v>
      </x:c>
      <x:c r="P10" s="3" t="str">
        <x:v>Live browser visual review 2026-10-17: clean toolbar/editor; official page also demonstrates compact chat and block-editor patterns.</x:v>
      </x:c>
      <x:c r="Q10" s="3" t="str">
        <x:v>Lean core and modular plugins; keep transcript timing/selection updates scoped. Measure large documents with required tables/decorators.</x:v>
      </x:c>
      <x:c r="R10" s="3" t="str">
        <x:v>Headless foundation: comments, tracked changes, approval controls and complete document UX are implementation work. Its examples are not a guarantee of a finished product.</x:v>
      </x:c>
      <x:c r="S10" s="11" t="d">
        <x:v>2026-09-28T12:00:00.000Z</x:v>
      </x:c>
      <x:c r="T10" s="3" t="str">
        <x:v>v0.52.0</x:v>
      </x:c>
      <x:c r="U10" s="11" t="str"/>
      <x:c r="V10" s="3" t="str">
        <x:v>pass: release inside 2026-04-17–2026-10-17</x:v>
      </x:c>
      <x:c r="W10" s="3" t="str">
        <x:v>pass</x:v>
      </x:c>
      <x:c r="X10" s="9" t="n">
        <x:v>24000</x:v>
      </x:c>
      <x:c r="Y10" s="11" t="d">
        <x:v>2026-10-17T12:00:00.000Z</x:v>
      </x:c>
      <x:c r="Z10" s="3" t="str">
        <x:v>Meta</x:v>
      </x:c>
      <x:c r="AA10" s="3" t="str">
        <x:v>https://github.com/facebook/lexical/blob/main/LICENSE</x:v>
      </x:c>
      <x:c r="AB10" s="3" t="str">
        <x:v>https://github.com/facebook/lexical/releases/tag/v0.52.0</x:v>
      </x:c>
      <x:c r="AC10" s="3" t="str">
        <x:v>https://lexical.dev/docs/intro; https://lexical.dev/; https://api.github.com/repos/facebook/lexical; https://github.com/facebook/lexical/blob/main/LICENSE</x:v>
      </x:c>
      <x:c r="AD10" s="3" t="str">
        <x:v>Editorial assessment of linked official output/docs; interaction and frame rate not benchmarked.</x:v>
      </x:c>
      <x:c r="AE10" s="3" t="str">
        <x:v>Useful transcript/editor primitive for D4, not a video editor; Yjs collaboration binding can reuse the sync choice.</x:v>
      </x:c>
      <x:c r="AF10" s="11" t="d">
        <x:v>2026-10-17T12:00:00.000Z</x:v>
      </x:c>
      <x:c r="AG10" s="3" t="str">
        <x:v>Rich text editor</x:v>
      </x:c>
      <x:c r="AH10" s="22" t="n">
        <x:v>85</x:v>
      </x:c>
      <x:c r="AI10" s="23" t="n">
        <x:v>4</x:v>
      </x:c>
      <x:c r="AJ10" s="23" t="n">
        <x:v>5</x:v>
      </x:c>
      <x:c r="AK10" s="23" t="n">
        <x:v>4</x:v>
      </x:c>
      <x:c r="AL10" s="23" t="n">
        <x:v>4</x:v>
      </x:c>
      <x:c r="AM10" s="23" t="n">
        <x:v>5</x:v>
      </x:c>
      <x:c r="AN10" s="23" t="n">
        <x:v>4</x:v>
      </x:c>
      <x:c r="AO10" s="23" t="n">
        <x:v>5</x:v>
      </x:c>
      <x:c r="AP10" s="23" t="n">
        <x:v>2</x:v>
      </x:c>
      <x:c r="AQ10" s="3" t="str">
        <x:v>high</x:v>
      </x:c>
      <x:c r="AR10" s="3" t="str">
        <x:v>Choose a React editor engine when bespoke document structure and controlled update behaviour justify engineering effort.</x:v>
      </x:c>
      <x:c r="AS10" s="3" t="str">
        <x:v>Prefer Tiptap for faster access to an extensive extension ecosystem.</x:v>
      </x:c>
      <x:c r="AT10" s="3" t="str">
        <x:v>Tiptap OSS Editor</x:v>
      </x:c>
      <x:c r="AU10" s="3" t="str">
        <x:v>https://lexical.dev/docs/intro</x:v>
      </x:c>
      <x:c r="AV10" s="3" t="str">
        <x:v>Integration documentation; this link is guidance, not an additional live demonstration.</x:v>
      </x:c>
      <x:c r="AW10" s="3" t="str">
        <x:v>documented</x:v>
      </x:c>
      <x:c r="AX10" s="3" t="str">
        <x:v>qualified_named_core_scope</x:v>
      </x:c>
    </x:row>
    <x:row r="11" ht="72" hidden="0" customHeight="1">
      <x:c r="A11" s="8" t="str">
        <x:v>lightweight-charts</x:v>
      </x:c>
      <x:c r="B11" s="8" t="str">
        <x:v>Lightweight Charts</x:v>
      </x:c>
      <x:c r="C11" s="8" t="str">
        <x:v>core</x:v>
      </x:c>
      <x:c r="D11" s="8" t="str">
        <x:v>Charts and data visualisation</x:v>
      </x:c>
      <x:c r="E11" s="8" t="str">
        <x:v>C1; C6</x:v>
      </x:c>
      <x:c r="F11" s="8" t="str">
        <x:v>simple_charts; realtime_trading; kpi_dashboards</x:v>
      </x:c>
      <x:c r="G11" s="8" t="str">
        <x:v>Responsive candlesticks, financial timescales and incremental live updates.</x:v>
      </x:c>
      <x:c r="H11" s="8" t="str">
        <x:v>Apache-2.0</x:v>
      </x:c>
      <x:c r="I11" s="8" t="str">
        <x:v>permissive</x:v>
      </x:c>
      <x:c r="J11" s="8" t="str">
        <x:v>https://github.com/tradingview/lightweight-charts</x:v>
      </x:c>
      <x:c r="K11" s="8" t="str">
        <x:v>https://tradingview.github.io/lightweight-charts/</x:v>
      </x:c>
      <x:c r="L11" s="8" t="str">
        <x:v>Good: official React integration guidance; imperative client-side instance with cleanup.</x:v>
      </x:c>
      <x:c r="M11" s="8" t="str">
        <x:v>TypeScript; HTML Canvas 2D</x:v>
      </x:c>
      <x:c r="N11" s="10" t="n">
        <x:v>4</x:v>
      </x:c>
      <x:c r="O11" s="8" t="str">
        <x:v>https://tradingview.github.io/lightweight-charts/tutorials/demos/realtime-updates</x:v>
      </x:c>
      <x:c r="P11" s="8" t="str">
        <x:v>Official real-time candlestick sample; editorial assessment, no measured latency test.</x:v>
      </x:c>
      <x:c r="Q11" s="8" t="str">
        <x:v>series.update updates the current/new bar without replacing history; pan away and return-to-live are explicit demo behaviours.</x:v>
      </x:c>
      <x:c r="R11" s="8" t="str">
        <x:v>No market data feed or complete trading-terminal/order-book UI. Preserve Apache notices and TradingView attribution/link requirements stated in repository README/NOTICE.</x:v>
      </x:c>
      <x:c r="S11" s="12" t="d">
        <x:v>2026-08-12T12:00:00.000Z</x:v>
      </x:c>
      <x:c r="T11" s="8" t="str">
        <x:v>v5.2.1</x:v>
      </x:c>
      <x:c r="U11" s="12" t="str"/>
      <x:c r="V11" s="8" t="str">
        <x:v>pass: release inside 2026-04-17–2026-10-17</x:v>
      </x:c>
      <x:c r="W11" s="8" t="str">
        <x:v>pass</x:v>
      </x:c>
      <x:c r="X11" s="10" t="n">
        <x:v>17600</x:v>
      </x:c>
      <x:c r="Y11" s="12" t="d">
        <x:v>2026-10-17T12:00:00.000Z</x:v>
      </x:c>
      <x:c r="Z11" s="8" t="str">
        <x:v>TradingView</x:v>
      </x:c>
      <x:c r="AA11" s="8" t="str">
        <x:v>https://github.com/tradingview/lightweight-charts/blob/master/LICENSE</x:v>
      </x:c>
      <x:c r="AB11" s="8" t="str">
        <x:v>https://github.com/tradingview/lightweight-charts/releases/tag/v5.2.1</x:v>
      </x:c>
      <x:c r="AC11" s="8" t="str">
        <x:v>https://tradingview.github.io/lightweight-charts/; https://tradingview.github.io/lightweight-charts/tutorials/demos/realtime-updates; https://api.github.com/repos/tradingview/lightweight-charts; https://github.com/tradingview/lightweight-charts/blob/master/LICENSE; https://github.com/tradingview/lightweight-charts/blob/master/README.md; https://github.com/tradingview/lightweight-charts/blob/master/NOTICE</x:v>
      </x:c>
      <x:c r="AD11" s="8" t="str">
        <x:v>Editorial assessment of linked official output/docs; interaction and frame rate not benchmarked.</x:v>
      </x:c>
      <x:c r="AE11" s="8" t="str">
        <x:v>Canvas, not GPU. Do not confuse with TradingView's separately licensed Advanced Charts.</x:v>
      </x:c>
      <x:c r="AF11" s="12" t="d">
        <x:v>2026-10-17T12:00:00.000Z</x:v>
      </x:c>
      <x:c r="AG11" s="3" t="str">
        <x:v>Chart renderer</x:v>
      </x:c>
      <x:c r="AH11" s="22" t="n">
        <x:v>74</x:v>
      </x:c>
      <x:c r="AI11" s="23" t="n">
        <x:v>4</x:v>
      </x:c>
      <x:c r="AJ11" s="23" t="n">
        <x:v>5</x:v>
      </x:c>
      <x:c r="AK11" s="23" t="n">
        <x:v>1</x:v>
      </x:c>
      <x:c r="AL11" s="23" t="n">
        <x:v>5</x:v>
      </x:c>
      <x:c r="AM11" s="23" t="n">
        <x:v>3</x:v>
      </x:c>
      <x:c r="AN11" s="23" t="n">
        <x:v>4</x:v>
      </x:c>
      <x:c r="AO11" s="23" t="n">
        <x:v>5</x:v>
      </x:c>
      <x:c r="AP11" s="23" t="n">
        <x:v>3</x:v>
      </x:c>
      <x:c r="AQ11" s="3" t="str">
        <x:v>medium</x:v>
      </x:c>
      <x:c r="AR11" s="3" t="str">
        <x:v>Choose for a financial time-series viewport with price scale, crosshair and incremental tick updates.</x:v>
      </x:c>
      <x:c r="AS11" s="3" t="str">
        <x:v>Use ECharts for broader analytics and Recharts for ordinary accessible product charts.</x:v>
      </x:c>
      <x:c r="AT11" s="3" t="str">
        <x:v>Apache ECharts; Recharts</x:v>
      </x:c>
      <x:c r="AU11" s="3" t="str">
        <x:v>https://tradingview.github.io/lightweight-charts/</x:v>
      </x:c>
      <x:c r="AV11" s="3" t="str">
        <x:v>Integration documentation; this link is guidance, not an additional live demonstration.</x:v>
      </x:c>
      <x:c r="AW11" s="3" t="str">
        <x:v>documented</x:v>
      </x:c>
      <x:c r="AX11" s="3" t="str">
        <x:v>qualified_named_core_scope</x:v>
      </x:c>
    </x:row>
    <x:row r="12" ht="36" hidden="0" customHeight="1">
      <x:c r="A12" s="3" t="str">
        <x:v>lucide</x:v>
      </x:c>
      <x:c r="B12" s="3" t="str">
        <x:v>Lucide</x:v>
      </x:c>
      <x:c r="C12" s="3" t="str">
        <x:v>core</x:v>
      </x:c>
      <x:c r="D12" s="3" t="str">
        <x:v>Component libraries and UI kits</x:v>
      </x:c>
      <x:c r="E12" s="3" t="str">
        <x:v>A10; B1</x:v>
      </x:c>
      <x:c r="F12" s="3" t="str">
        <x:v>simple_charts; kpi_dashboards; realtime_trading; live_maps; landing_pages; product_configurators; multiplayer_whiteboards; video_timelines; network_graphs; ai_agents</x:v>
      </x:c>
      <x:c r="G12" s="3" t="str">
        <x:v>Consistent stroke icons covering complex desktop tools without a patchwork visual vocabulary.</x:v>
      </x:c>
      <x:c r="H12" s="3" t="str">
        <x:v>ISC; listed Feather-derived icons MIT</x:v>
      </x:c>
      <x:c r="I12" s="3" t="str">
        <x:v>permissive</x:v>
      </x:c>
      <x:c r="J12" s="3" t="str">
        <x:v>https://github.com/lucide-icons/lucide</x:v>
      </x:c>
      <x:c r="K12" s="3" t="str">
        <x:v>https://lucide.dev/guide/</x:v>
      </x:c>
      <x:c r="L12" s="3" t="str">
        <x:v>Excellent lucide-react components; explicit imports allow tree shaking.</x:v>
      </x:c>
      <x:c r="M12" s="3" t="str">
        <x:v>SVG; React/Vue/Svelte/Angular and other packages</x:v>
      </x:c>
      <x:c r="N12" s="9" t="n">
        <x:v>4</x:v>
      </x:c>
      <x:c r="O12" s="3" t="str">
        <x:v>https://lucide.dev/icons/</x:v>
      </x:c>
      <x:c r="P12" s="3" t="str">
        <x:v>Editorial: searchable icon gallery with consistent stroke rhythm and extensive desktop coverage.</x:v>
      </x:c>
      <x:c r="Q12" s="3" t="str">
        <x:v>Tree-shake individual icons; avoid importing the entire dynamic icon catalogue into a client bundle.</x:v>
      </x:c>
      <x:c r="R12" s="3" t="str">
        <x:v>ISC for Lucide, MIT for listed Feather-derived icons; retain notices. Icons need accessible names and cannot replace clear labels.</x:v>
      </x:c>
      <x:c r="S12" s="11" t="d">
        <x:v>2026-10-17T12:00:00.000Z</x:v>
      </x:c>
      <x:c r="T12" s="3" t="str">
        <x:v>1.59.0</x:v>
      </x:c>
      <x:c r="U12" s="11" t="d">
        <x:v>2026-10-16T12:00:00.000Z</x:v>
      </x:c>
      <x:c r="V12" s="3" t="str">
        <x:v>verified_active_within_6_months</x:v>
      </x:c>
      <x:c r="W12" s="3" t="str">
        <x:v>pass</x:v>
      </x:c>
      <x:c r="X12" s="9" t="n">
        <x:v>25100</x:v>
      </x:c>
      <x:c r="Y12" s="11" t="d">
        <x:v>2026-10-17T12:00:00.000Z</x:v>
      </x:c>
      <x:c r="Z12" s="3" t="str">
        <x:v>Lucide community and sponsors</x:v>
      </x:c>
      <x:c r="AA12" s="3" t="str">
        <x:v>https://github.com/lucide-icons/lucide/blob/main/LICENSE</x:v>
      </x:c>
      <x:c r="AB12" s="3" t="str">
        <x:v>https://github.com/lucide-icons/lucide/releases/tag/1.59.0; https://github.com/lucide-icons/lucide/commit/1ef60af944de207e0d5176905a0759ba12e6ee8d</x:v>
      </x:c>
      <x:c r="AC12" s="3" t="str">
        <x:v>https://api.github.com/repos/lucide-icons/lucide; https://github.com/lucide-icons/lucide/blob/main/LICENSE; https://lucide.dev/guide/; https://lucide.dev/icons/</x:v>
      </x:c>
      <x:c r="AD12" s="3" t="str">
        <x:v>Editorial assessment of linked official output/docs; interaction and frame rate not benchmarked.</x:v>
      </x:c>
      <x:c r="AE12" s="3" t="str">
        <x:v>Stars are rounded from fresh GitHub API metadata; visual scores are editorial, not measured benchmarks.</x:v>
      </x:c>
      <x:c r="AF12" s="11" t="d">
        <x:v>2026-10-17T12:00:00.000Z</x:v>
      </x:c>
      <x:c r="AG12" s="3" t="str">
        <x:v>Icon assets</x:v>
      </x:c>
      <x:c r="AH12" s="22" t="n">
        <x:v>88.2</x:v>
      </x:c>
      <x:c r="AI12" s="23" t="n">
        <x:v>4</x:v>
      </x:c>
      <x:c r="AJ12" s="23"/>
      <x:c r="AK12" s="23" t="n">
        <x:v>3</x:v>
      </x:c>
      <x:c r="AL12" s="23" t="n">
        <x:v>5</x:v>
      </x:c>
      <x:c r="AM12" s="23" t="n">
        <x:v>5</x:v>
      </x:c>
      <x:c r="AN12" s="23" t="n">
        <x:v>5</x:v>
      </x:c>
      <x:c r="AO12" s="23" t="n">
        <x:v>5</x:v>
      </x:c>
      <x:c r="AP12" s="23" t="n">
        <x:v>5</x:v>
      </x:c>
      <x:c r="AQ12" s="3" t="str">
        <x:v>low</x:v>
      </x:c>
      <x:c r="AR12" s="3" t="str">
        <x:v>Choose a consistent stroke icon vocabulary that can be tree-shaken and styled with the app tokens.</x:v>
      </x:c>
      <x:c r="AS12" s="3" t="str">
        <x:v>Icons still need accessible names and consistent semantics; this is not an imagery/illustration service.</x:v>
      </x:c>
      <x:c r="AT12" s="3" t="str"/>
      <x:c r="AU12" s="3" t="str">
        <x:v>https://lucide.dev/guide/</x:v>
      </x:c>
      <x:c r="AV12" s="3" t="str">
        <x:v>Integration documentation; this link is guidance, not an additional live demonstration.</x:v>
      </x:c>
      <x:c r="AW12" s="3" t="str">
        <x:v>documented</x:v>
      </x:c>
      <x:c r="AX12" s="3" t="str">
        <x:v>qualified_named_core_scope</x:v>
      </x:c>
    </x:row>
    <x:row r="13" ht="48" hidden="0" customHeight="1">
      <x:c r="A13" s="8" t="str">
        <x:v>maplibre-gl-js</x:v>
      </x:c>
      <x:c r="B13" s="8" t="str">
        <x:v>MapLibre GL JS</x:v>
      </x:c>
      <x:c r="C13" s="8" t="str">
        <x:v>core</x:v>
      </x:c>
      <x:c r="D13" s="8" t="str">
        <x:v>Maps and geospatial</x:v>
      </x:c>
      <x:c r="E13" s="8" t="str">
        <x:v>C3; C6; D1</x:v>
      </x:c>
      <x:c r="F13" s="8" t="str">
        <x:v>live_maps; kpi_dashboards</x:v>
      </x:c>
      <x:c r="G13" s="8" t="str">
        <x:v>Custom vector basemaps, terrain, clustering and live feature updates.</x:v>
      </x:c>
      <x:c r="H13" s="8" t="str">
        <x:v>BSD-3-Clause</x:v>
      </x:c>
      <x:c r="I13" s="8" t="str">
        <x:v>permissive</x:v>
      </x:c>
      <x:c r="J13" s="8" t="str">
        <x:v>https://github.com/maplibre/maplibre-gl-js</x:v>
      </x:c>
      <x:c r="K13" s="8" t="str">
        <x:v>https://maplibre.org/maplibre-gl-js/docs/</x:v>
      </x:c>
      <x:c r="L13" s="8" t="str">
        <x:v>Good: react-map-gl MapLibre binding or imperative client component; coordinate resize and cleanup.</x:v>
      </x:c>
      <x:c r="M13" s="8" t="str">
        <x:v>TypeScript; WebGL2; vector tiles</x:v>
      </x:c>
      <x:c r="N13" s="10" t="n">
        <x:v>4</x:v>
      </x:c>
      <x:c r="O13" s="8" t="str">
        <x:v>https://maplibre.org/maplibre-gl-js/docs/examples/3d-terrain/</x:v>
      </x:c>
      <x:c r="P13" s="8" t="str">
        <x:v>Official terrain and real-time feature examples; editorial assessment, no live-map benchmark.</x:v>
      </x:c>
      <x:c r="Q13" s="8" t="str">
        <x:v>GPU vector-tile rendering; tile large datasets rather than repeatedly replacing huge GeoJSON. Symbol count, feature complexity and device pixel ratio matter.</x:v>
      </x:c>
      <x:c r="R13" s="8" t="str">
        <x:v>Renderer licence does not include tile hosting, geocoding, map styles, fonts or map-data rights; provide stale-position and offline UX.</x:v>
      </x:c>
      <x:c r="S13" s="12" t="d">
        <x:v>2026-10-11T12:00:00.000Z</x:v>
      </x:c>
      <x:c r="T13" s="8" t="str">
        <x:v>v6.14.0</x:v>
      </x:c>
      <x:c r="U13" s="12" t="str"/>
      <x:c r="V13" s="8" t="str">
        <x:v>pass: release inside 2026-04-17–2026-10-17</x:v>
      </x:c>
      <x:c r="W13" s="8" t="str">
        <x:v>pass</x:v>
      </x:c>
      <x:c r="X13" s="10" t="n">
        <x:v>11900</x:v>
      </x:c>
      <x:c r="Y13" s="12" t="d">
        <x:v>2026-10-17T12:00:00.000Z</x:v>
      </x:c>
      <x:c r="Z13" s="8" t="str">
        <x:v>MapLibre nonprofit/community and sponsors</x:v>
      </x:c>
      <x:c r="AA13" s="8" t="str">
        <x:v>https://github.com/maplibre/maplibre-gl-js/blob/main/LICENSE.txt</x:v>
      </x:c>
      <x:c r="AB13" s="8" t="str">
        <x:v>https://github.com/maplibre/maplibre-gl-js/releases/tag/v6.14.0</x:v>
      </x:c>
      <x:c r="AC13" s="8" t="str">
        <x:v>https://maplibre.org/maplibre-gl-js/docs/; https://maplibre.org/maplibre-gl-js/docs/examples/3d-terrain/; https://api.github.com/repos/maplibre/maplibre-gl-js; https://github.com/maplibre/maplibre-gl-js/blob/main/LICENSE.txt</x:v>
      </x:c>
      <x:c r="AD13" s="8" t="str">
        <x:v>Editorial assessment of linked official output/docs; interaction and frame rate not benchmarked.</x:v>
      </x:c>
      <x:c r="AE13" s="8" t="str">
        <x:v>BSD-3-Clause verified from licence text despite GitHub API NOASSERTION.</x:v>
      </x:c>
      <x:c r="AF13" s="12" t="d">
        <x:v>2026-10-17T12:00:00.000Z</x:v>
      </x:c>
      <x:c r="AG13" s="3" t="str">
        <x:v>Map basemap</x:v>
      </x:c>
      <x:c r="AH13" s="22" t="n">
        <x:v>79</x:v>
      </x:c>
      <x:c r="AI13" s="23" t="n">
        <x:v>4</x:v>
      </x:c>
      <x:c r="AJ13" s="23" t="n">
        <x:v>5</x:v>
      </x:c>
      <x:c r="AK13" s="23" t="n">
        <x:v>2</x:v>
      </x:c>
      <x:c r="AL13" s="23" t="n">
        <x:v>5</x:v>
      </x:c>
      <x:c r="AM13" s="23" t="n">
        <x:v>3</x:v>
      </x:c>
      <x:c r="AN13" s="23" t="n">
        <x:v>5</x:v>
      </x:c>
      <x:c r="AO13" s="23" t="n">
        <x:v>5</x:v>
      </x:c>
      <x:c r="AP13" s="23" t="n">
        <x:v>3</x:v>
      </x:c>
      <x:c r="AQ13" s="3" t="str">
        <x:v>medium</x:v>
      </x:c>
      <x:c r="AR13" s="3" t="str">
        <x:v>Choose for an open vector-map engine; add deck.gl for analytical overlays when needed.</x:v>
      </x:c>
      <x:c r="AS13" s="3" t="str">
        <x:v>The engine does not provide free tiles, geocoding, map-data rights or a nonvisual representation.</x:v>
      </x:c>
      <x:c r="AT13" s="3" t="str">
        <x:v>deck.gl</x:v>
      </x:c>
      <x:c r="AU13" s="3" t="str">
        <x:v>https://maplibre.org/maplibre-gl-js/docs/</x:v>
      </x:c>
      <x:c r="AV13" s="3" t="str">
        <x:v>Integration documentation; this link is guidance, not an additional live demonstration.</x:v>
      </x:c>
      <x:c r="AW13" s="3" t="str">
        <x:v>documented</x:v>
      </x:c>
      <x:c r="AX13" s="3" t="str">
        <x:v>qualified_named_core_scope</x:v>
      </x:c>
    </x:row>
    <x:row r="14" ht="36" hidden="0" customHeight="1">
      <x:c r="A14" s="3" t="str">
        <x:v>motion</x:v>
      </x:c>
      <x:c r="B14" s="3" t="str">
        <x:v>Motion</x:v>
      </x:c>
      <x:c r="C14" s="3" t="str">
        <x:v>core</x:v>
      </x:c>
      <x:c r="D14" s="3" t="str">
        <x:v>Motion and animation</x:v>
      </x:c>
      <x:c r="E14" s="3" t="str">
        <x:v>A5; A6; F1; F2</x:v>
      </x:c>
      <x:c r="F14" s="3" t="str">
        <x:v>simple_charts; kpi_dashboards; realtime_trading; live_maps; landing_pages; product_configurators; multiplayer_whiteboards; video_timelines; network_graphs; ai_agents</x:v>
      </x:c>
      <x:c r="G14" s="3" t="str">
        <x:v>Interruptible springs, shared-element layout transitions, gestures and scroll-linked animation.</x:v>
      </x:c>
      <x:c r="H14" s="3" t="str">
        <x:v>MIT</x:v>
      </x:c>
      <x:c r="I14" s="3" t="str">
        <x:v>permissive</x:v>
      </x:c>
      <x:c r="J14" s="3" t="str">
        <x:v>https://github.com/motiondivision/motion</x:v>
      </x:c>
      <x:c r="K14" s="3" t="str">
        <x:v>https://motion.dev/docs</x:v>
      </x:c>
      <x:c r="L14" s="3" t="str">
        <x:v>Excellent native React API; client boundary for interactive Motion components in Next.</x:v>
      </x:c>
      <x:c r="M14" s="3" t="str">
        <x:v>TypeScript; React and framework-agnostic JS; Vue package</x:v>
      </x:c>
      <x:c r="N14" s="9" t="n">
        <x:v>5</x:v>
      </x:c>
      <x:c r="O14" s="3" t="str">
        <x:v>https://motion.dev/docs/react-layout-animations</x:v>
      </x:c>
      <x:c r="P14" s="3" t="str">
        <x:v>Editorial: shared-layout transition examples show fluid continuity; premium Motion+ examples are excluded.</x:v>
      </x:c>
      <x:c r="Q14" s="3" t="str">
        <x:v>Hybrid browser/JS animation engine; transform/opacity paths are preferable. Profile large layout groups and complex shadows.</x:v>
      </x:c>
      <x:c r="R14" s="3" t="str">
        <x:v>Core is MIT; Motion+ and some APIs/examples are paid. Reduced-motion behaviour must be configured and exercised.</x:v>
      </x:c>
      <x:c r="S14" s="11" t="str"/>
      <x:c r="T14" s="3" t="str"/>
      <x:c r="U14" s="11" t="d">
        <x:v>2026-10-16T12:00:00.000Z</x:v>
      </x:c>
      <x:c r="V14" s="3" t="str">
        <x:v>verified_active_within_6_months</x:v>
      </x:c>
      <x:c r="W14" s="3" t="str">
        <x:v>pass</x:v>
      </x:c>
      <x:c r="X14" s="9" t="n">
        <x:v>34300</x:v>
      </x:c>
      <x:c r="Y14" s="11" t="d">
        <x:v>2026-10-17T12:00:00.000Z</x:v>
      </x:c>
      <x:c r="Z14" s="3" t="str">
        <x:v>Motion Division; sponsor-supported; Framer and Cursor partners</x:v>
      </x:c>
      <x:c r="AA14" s="3" t="str">
        <x:v>https://github.com/motiondivision/motion/blob/main/LICENSE.md</x:v>
      </x:c>
      <x:c r="AB14" s="3" t="str">
        <x:v>https://github.com/motiondivision/motion/commit/2d27b041114f5f1cffc1f6d3ad522929ce0cc41f</x:v>
      </x:c>
      <x:c r="AC14" s="3" t="str">
        <x:v>https://api.github.com/repos/motiondivision/motion; https://github.com/motiondivision/motion/blob/main/LICENSE.md; https://motion.dev/docs; https://motion.dev/docs/react-layout-animations</x:v>
      </x:c>
      <x:c r="AD14" s="3" t="str">
        <x:v>Editorial assessment of linked official output/docs; interaction and frame rate not benchmarked.</x:v>
      </x:c>
      <x:c r="AE14" s="3" t="str">
        <x:v>No GitHub Release returned; activity gate is met through source commits.</x:v>
      </x:c>
      <x:c r="AF14" s="11" t="d">
        <x:v>2026-10-17T12:00:00.000Z</x:v>
      </x:c>
      <x:c r="AG14" s="3" t="str">
        <x:v>DOM motion</x:v>
      </x:c>
      <x:c r="AH14" s="22" t="n">
        <x:v>93</x:v>
      </x:c>
      <x:c r="AI14" s="23" t="n">
        <x:v>5</x:v>
      </x:c>
      <x:c r="AJ14" s="23" t="n">
        <x:v>5</x:v>
      </x:c>
      <x:c r="AK14" s="23" t="n">
        <x:v>4</x:v>
      </x:c>
      <x:c r="AL14" s="23" t="n">
        <x:v>4</x:v>
      </x:c>
      <x:c r="AM14" s="23" t="n">
        <x:v>5</x:v>
      </x:c>
      <x:c r="AN14" s="23" t="n">
        <x:v>5</x:v>
      </x:c>
      <x:c r="AO14" s="23" t="n">
        <x:v>5</x:v>
      </x:c>
      <x:c r="AP14" s="23" t="n">
        <x:v>4</x:v>
      </x:c>
      <x:c r="AQ14" s="3" t="str">
        <x:v>medium</x:v>
      </x:c>
      <x:c r="AR14" s="3" t="str">
        <x:v>Use for interruptible React transitions, springs, layout changes and state feedback.</x:v>
      </x:c>
      <x:c r="AS14" s="3" t="str">
        <x:v>Use native CSS for trivial effects; use Rive for designer-authored animated assets rather than DOM state.</x:v>
      </x:c>
      <x:c r="AT14" s="3" t="str">
        <x:v>Anime.js; Rive Web runtime (MIT playback; separate authoring)</x:v>
      </x:c>
      <x:c r="AU14" s="3" t="str">
        <x:v>https://emilkowal.ski/ui/you-dont-need-animations</x:v>
      </x:c>
      <x:c r="AV14" s="3" t="str">
        <x:v>Compare purposeful press feedback/explanatory feature motion with immediate recurring-command response.</x:v>
      </x:c>
      <x:c r="AW14" s="3" t="str">
        <x:v>documented</x:v>
      </x:c>
      <x:c r="AX14" s="3" t="str">
        <x:v>qualified_named_core_scope</x:v>
      </x:c>
    </x:row>
    <x:row r="15" ht="36" hidden="0" customHeight="1">
      <x:c r="A15" s="8" t="str">
        <x:v>react_aria</x:v>
      </x:c>
      <x:c r="B15" s="8" t="str">
        <x:v>React Aria Components</x:v>
      </x:c>
      <x:c r="C15" s="8" t="str">
        <x:v>core</x:v>
      </x:c>
      <x:c r="D15" s="8" t="str">
        <x:v>Component libraries and UI kits</x:v>
      </x:c>
      <x:c r="E15" s="8" t="str">
        <x:v>A6; A7; B1; B2; B4; B5; B6; B7; B8; B9; F3</x:v>
      </x:c>
      <x:c r="F15" s="8" t="str">
        <x:v>simple_charts; kpi_dashboards; realtime_trading; live_maps; landing_pages; product_configurators; multiplayer_whiteboards; video_timelines; network_graphs; ai_agents</x:v>
      </x:c>
      <x:c r="G15" s="8" t="str">
        <x:v>Accessible keyboard, focus and internationalised interactions, especially date/numeric inputs and collections.</x:v>
      </x:c>
      <x:c r="H15" s="8" t="str">
        <x:v>Apache-2.0</x:v>
      </x:c>
      <x:c r="I15" s="8" t="str">
        <x:v>permissive</x:v>
      </x:c>
      <x:c r="J15" s="8" t="str">
        <x:v>https://github.com/adobe/react-spectrum</x:v>
      </x:c>
      <x:c r="K15" s="8" t="str">
        <x:v>https://react-aria.adobe.com/</x:v>
      </x:c>
      <x:c r="L15" s="8" t="str">
        <x:v>Excellent native React; SSR supported, interactive controls use client boundaries.</x:v>
      </x:c>
      <x:c r="M15" s="8" t="str">
        <x:v>React/TypeScript; headless components and hooks</x:v>
      </x:c>
      <x:c r="N15" s="10" t="n">
        <x:v>4</x:v>
      </x:c>
      <x:c r="O15" s="8" t="str">
        <x:v>https://react-aria.adobe.com/DateRangePicker</x:v>
      </x:c>
      <x:c r="P15" s="8" t="str">
        <x:v>Editorial: range-calendar interaction and locale-aware input example; bring a theme for branded output.</x:v>
      </x:c>
      <x:c r="Q15" s="8" t="str">
        <x:v>Virtualised collections are available; import only needed components. Test complex focus and collection behaviour at target scale.</x:v>
      </x:c>
      <x:c r="R15" s="8" t="str">
        <x:v>Unstyled primitives need visual design. Virtualisation does not remove the need for keyboard/screen-reader testing.</x:v>
      </x:c>
      <x:c r="S15" s="12" t="d">
        <x:v>2026-10-09T12:00:00.000Z</x:v>
      </x:c>
      <x:c r="T15" s="8" t="str">
        <x:v>react-aria-components@1.22.0</x:v>
      </x:c>
      <x:c r="U15" s="12" t="d">
        <x:v>2026-10-16T12:00:00.000Z</x:v>
      </x:c>
      <x:c r="V15" s="8" t="str">
        <x:v>verified_active_within_6_months</x:v>
      </x:c>
      <x:c r="W15" s="8" t="str">
        <x:v>pass</x:v>
      </x:c>
      <x:c r="X15" s="10" t="n">
        <x:v>16000</x:v>
      </x:c>
      <x:c r="Y15" s="12" t="d">
        <x:v>2026-10-17T12:00:00.000Z</x:v>
      </x:c>
      <x:c r="Z15" s="8" t="str">
        <x:v>Adobe</x:v>
      </x:c>
      <x:c r="AA15" s="8" t="str">
        <x:v>https://github.com/adobe/react-spectrum/blob/main/LICENSE</x:v>
      </x:c>
      <x:c r="AB15" s="8" t="str">
        <x:v>https://github.com/adobe/react-spectrum/releases/tag/react-aria-components%401.22.0; https://github.com/adobe/react-spectrum/commit/261344335e54265b2d02dc57a43b911a718de707</x:v>
      </x:c>
      <x:c r="AC15" s="8" t="str">
        <x:v>https://api.github.com/repos/adobe/react-spectrum; https://github.com/adobe/react-spectrum/blob/main/LICENSE; https://react-aria.adobe.com/; https://react-aria.adobe.com/DateRangePicker</x:v>
      </x:c>
      <x:c r="AD15" s="8" t="str">
        <x:v>Editorial assessment of linked official output/docs; interaction and frame rate not benchmarked.</x:v>
      </x:c>
      <x:c r="AE15" s="8" t="str">
        <x:v>Stars are rounded from fresh GitHub API metadata; visual scores are editorial, not measured benchmarks.</x:v>
      </x:c>
      <x:c r="AF15" s="12" t="d">
        <x:v>2026-10-17T12:00:00.000Z</x:v>
      </x:c>
      <x:c r="AG15" s="3" t="str">
        <x:v>Accessible primitives</x:v>
      </x:c>
      <x:c r="AH15" s="22" t="n">
        <x:v>91</x:v>
      </x:c>
      <x:c r="AI15" s="23" t="n">
        <x:v>4</x:v>
      </x:c>
      <x:c r="AJ15" s="23" t="n">
        <x:v>5</x:v>
      </x:c>
      <x:c r="AK15" s="23" t="n">
        <x:v>5</x:v>
      </x:c>
      <x:c r="AL15" s="23" t="n">
        <x:v>4</x:v>
      </x:c>
      <x:c r="AM15" s="23" t="n">
        <x:v>5</x:v>
      </x:c>
      <x:c r="AN15" s="23" t="n">
        <x:v>5</x:v>
      </x:c>
      <x:c r="AO15" s="23" t="n">
        <x:v>5</x:v>
      </x:c>
      <x:c r="AP15" s="23" t="n">
        <x:v>3</x:v>
      </x:c>
      <x:c r="AQ15" s="3" t="str">
        <x:v>medium</x:v>
      </x:c>
      <x:c r="AR15" s="3" t="str">
        <x:v>Prefer for complex keyboard models, internationalised dates, comboboxes and accessibility-first custom controls.</x:v>
      </x:c>
      <x:c r="AS15" s="3" t="str">
        <x:v>It is headless; budget styling, composition and assistive-technology testing.</x:v>
      </x:c>
      <x:c r="AT15" s="3" t="str">
        <x:v>Base UI; Radix Primitives; Ark UI</x:v>
      </x:c>
      <x:c r="AU15" s="3" t="str">
        <x:v>https://react-aria.adobe.com/</x:v>
      </x:c>
      <x:c r="AV15" s="3" t="str">
        <x:v>Integration documentation; this link is guidance, not an additional live demonstration.</x:v>
      </x:c>
      <x:c r="AW15" s="3" t="str">
        <x:v>documented</x:v>
      </x:c>
      <x:c r="AX15" s="3" t="str">
        <x:v>qualified_named_core_scope</x:v>
      </x:c>
    </x:row>
    <x:row r="16" ht="24" hidden="0" customHeight="1">
      <x:c r="A16" s="3" t="str">
        <x:v>react-flow</x:v>
      </x:c>
      <x:c r="B16" s="3" t="str">
        <x:v>React Flow</x:v>
      </x:c>
      <x:c r="C16" s="3" t="str">
        <x:v>core</x:v>
      </x:c>
      <x:c r="D16" s="3" t="str">
        <x:v>Graph and network visualisation</x:v>
      </x:c>
      <x:c r="E16" s="3" t="str">
        <x:v>C4; D2; E2; E5</x:v>
      </x:c>
      <x:c r="F16" s="3" t="str">
        <x:v>network_graphs; multiplayer_whiteboards; ai_agents</x:v>
      </x:c>
      <x:c r="G16" s="3" t="str">
        <x:v>Editable node workflows with custom React cards, handles and connection rules.</x:v>
      </x:c>
      <x:c r="H16" s="3" t="str">
        <x:v>MIT</x:v>
      </x:c>
      <x:c r="I16" s="3" t="str">
        <x:v>permissive</x:v>
      </x:c>
      <x:c r="J16" s="3" t="str">
        <x:v>https://github.com/xyflow/xyflow</x:v>
      </x:c>
      <x:c r="K16" s="3" t="str">
        <x:v>https://reactflow.dev/</x:v>
      </x:c>
      <x:c r="L16" s="3" t="str">
        <x:v>Excellent React/Next support including SSR guidance; interactive editing uses a client boundary.</x:v>
      </x:c>
      <x:c r="M16" s="3" t="str">
        <x:v>React; TypeScript; DOM nodes/SVG edges; Zustand</x:v>
      </x:c>
      <x:c r="N16" s="9" t="n">
        <x:v>5</x:v>
      </x:c>
      <x:c r="O16" s="3" t="str">
        <x:v>https://reactflow.dev/examples/interaction/connection-events</x:v>
      </x:c>
      <x:c r="P16" s="3" t="str">
        <x:v>Official themed node/connection examples and AI workflow templates; editorial potential, no new benchmark.</x:v>
      </x:c>
      <x:c r="Q16" s="3" t="str">
        <x:v>Memoize custom nodes/handlers; avoid subscribing every node to complete graph state. DOM node editing is appropriate at workflow scale, not massive network-rendering scale.</x:v>
      </x:c>
      <x:c r="R16" s="3" t="str">
        <x:v>Core is MIT; some Pro examples/templates and support are paid. Layout, history persistence and multiplayer transport are additional work.</x:v>
      </x:c>
      <x:c r="S16" s="11" t="d">
        <x:v>2026-09-24T12:00:00.000Z</x:v>
      </x:c>
      <x:c r="T16" s="3" t="str">
        <x:v>@xyflow/react@12.12.0</x:v>
      </x:c>
      <x:c r="U16" s="11" t="str"/>
      <x:c r="V16" s="3" t="str">
        <x:v>pass: release inside 2026-04-17–2026-10-17</x:v>
      </x:c>
      <x:c r="W16" s="3" t="str">
        <x:v>pass</x:v>
      </x:c>
      <x:c r="X16" s="9" t="n">
        <x:v>38700</x:v>
      </x:c>
      <x:c r="Y16" s="11" t="d">
        <x:v>2026-10-17T12:00:00.000Z</x:v>
      </x:c>
      <x:c r="Z16" s="3" t="str">
        <x:v>xyflow</x:v>
      </x:c>
      <x:c r="AA16" s="3" t="str">
        <x:v>https://github.com/xyflow/xyflow/blob/main/LICENSE</x:v>
      </x:c>
      <x:c r="AB16" s="3" t="str">
        <x:v>https://github.com/xyflow/xyflow/releases/tag/%40xyflow/react%4012.12.0</x:v>
      </x:c>
      <x:c r="AC16" s="3" t="str">
        <x:v>https://reactflow.dev/; https://reactflow.dev/examples/interaction/connection-events; https://api.github.com/repos/xyflow/xyflow; https://github.com/xyflow/xyflow/blob/main/LICENSE</x:v>
      </x:c>
      <x:c r="AD16" s="3" t="str">
        <x:v>Editorial assessment of linked official output/docs; interaction and frame rate not benchmarked.</x:v>
      </x:c>
      <x:c r="AE16" s="3" t="str">
        <x:v>React package release specifically verified: @xyflow/react@12.12.0, not the monorepo latest Svelte release.</x:v>
      </x:c>
      <x:c r="AF16" s="11" t="d">
        <x:v>2026-10-17T12:00:00.000Z</x:v>
      </x:c>
      <x:c r="AG16" s="3" t="str">
        <x:v>Diagram editor</x:v>
      </x:c>
      <x:c r="AH16" s="22" t="n">
        <x:v>93</x:v>
      </x:c>
      <x:c r="AI16" s="23" t="n">
        <x:v>5</x:v>
      </x:c>
      <x:c r="AJ16" s="23" t="n">
        <x:v>5</x:v>
      </x:c>
      <x:c r="AK16" s="23" t="n">
        <x:v>4</x:v>
      </x:c>
      <x:c r="AL16" s="23" t="n">
        <x:v>4</x:v>
      </x:c>
      <x:c r="AM16" s="23" t="n">
        <x:v>5</x:v>
      </x:c>
      <x:c r="AN16" s="23" t="n">
        <x:v>5</x:v>
      </x:c>
      <x:c r="AO16" s="23" t="n">
        <x:v>5</x:v>
      </x:c>
      <x:c r="AP16" s="23" t="n">
        <x:v>4</x:v>
      </x:c>
      <x:c r="AQ16" s="3" t="str">
        <x:v>medium</x:v>
      </x:c>
      <x:c r="AR16" s="3" t="str">
        <x:v>Choose for editable node-and-port diagrams, workflows and graph-like application editors.</x:v>
      </x:c>
      <x:c r="AS16" s="3" t="str">
        <x:v>Choose Sigma or G6 for large exploratory networks and force/layout-driven analysis.</x:v>
      </x:c>
      <x:c r="AT16" s="3" t="str">
        <x:v>Sigma.js + Graphology; AntV G6</x:v>
      </x:c>
      <x:c r="AU16" s="3" t="str">
        <x:v>https://reactflow.dev/</x:v>
      </x:c>
      <x:c r="AV16" s="3" t="str">
        <x:v>Integration documentation; this link is guidance, not an additional live demonstration.</x:v>
      </x:c>
      <x:c r="AW16" s="3" t="str">
        <x:v>documented</x:v>
      </x:c>
      <x:c r="AX16" s="3" t="str">
        <x:v>qualified_named_core_scope</x:v>
      </x:c>
    </x:row>
    <x:row r="17" ht="48" hidden="0" customHeight="1">
      <x:c r="A17" s="8" t="str">
        <x:v>react_hook_form</x:v>
      </x:c>
      <x:c r="B17" s="8" t="str">
        <x:v>React Hook Form</x:v>
      </x:c>
      <x:c r="C17" s="8" t="str">
        <x:v>core</x:v>
      </x:c>
      <x:c r="D17" s="8" t="str">
        <x:v>Component libraries and UI kits</x:v>
      </x:c>
      <x:c r="E17" s="8" t="str">
        <x:v>A6; B5; B8; B9</x:v>
      </x:c>
      <x:c r="F17" s="8" t="str">
        <x:v>simple_charts; kpi_dashboards; realtime_trading; live_maps; landing_pages; product_configurators; multiplayer_whiteboards; video_timelines; network_graphs; ai_agents</x:v>
      </x:c>
      <x:c r="G17" s="8" t="str">
        <x:v>Efficient form state, validation and error handling for dense settings and setup workflows.</x:v>
      </x:c>
      <x:c r="H17" s="8" t="str">
        <x:v>MIT</x:v>
      </x:c>
      <x:c r="I17" s="8" t="str">
        <x:v>permissive</x:v>
      </x:c>
      <x:c r="J17" s="8" t="str">
        <x:v>https://github.com/react-hook-form/react-hook-form</x:v>
      </x:c>
      <x:c r="K17" s="8" t="str">
        <x:v>https://react-hook-form.com/</x:v>
      </x:c>
      <x:c r="L17" s="8" t="str">
        <x:v>Excellent; client forms in Next; integrates with styled or headless controls.</x:v>
      </x:c>
      <x:c r="M17" s="8" t="str">
        <x:v>React/TypeScript; validation resolver ecosystem</x:v>
      </x:c>
      <x:c r="N17" s="10" t="n">
        <x:v>3</x:v>
      </x:c>
      <x:c r="O17" s="8" t="str">
        <x:v>https://react-hook-form.com/advanced-usage</x:v>
      </x:c>
      <x:c r="P17" s="8" t="str">
        <x:v>Editorial: practical validation examples; form appearance comes from the UI kit.</x:v>
      </x:c>
      <x:c r="Q17" s="8" t="str">
        <x:v>Uncontrolled inputs and subscription-based state reduce rerenders; watch broad formState subscriptions.</x:v>
      </x:c>
      <x:c r="R17" s="8" t="str">
        <x:v>No visual components or automatic accessible copy. Server validation, async race handling and precision-safe number values still need design.</x:v>
      </x:c>
      <x:c r="S17" s="12" t="d">
        <x:v>2026-10-10T12:00:00.000Z</x:v>
      </x:c>
      <x:c r="T17" s="8" t="str">
        <x:v>v7.90.0</x:v>
      </x:c>
      <x:c r="U17" s="12" t="d">
        <x:v>2026-10-16T12:00:00.000Z</x:v>
      </x:c>
      <x:c r="V17" s="8" t="str">
        <x:v>verified_active_within_6_months</x:v>
      </x:c>
      <x:c r="W17" s="8" t="str">
        <x:v>pass</x:v>
      </x:c>
      <x:c r="X17" s="10" t="n">
        <x:v>44900</x:v>
      </x:c>
      <x:c r="Y17" s="12" t="d">
        <x:v>2026-10-17T12:00:00.000Z</x:v>
      </x:c>
      <x:c r="Z17" s="8" t="str">
        <x:v>React Hook Form maintainers and sponsors</x:v>
      </x:c>
      <x:c r="AA17" s="8" t="str">
        <x:v>https://github.com/react-hook-form/react-hook-form/blob/master/LICENSE</x:v>
      </x:c>
      <x:c r="AB17" s="8" t="str">
        <x:v>https://github.com/react-hook-form/react-hook-form/releases/tag/v7.90.0; https://github.com/react-hook-form/react-hook-form/commit/a5691d4e079403d36187fa81e38347e64cdaf55c</x:v>
      </x:c>
      <x:c r="AC17" s="8" t="str">
        <x:v>https://api.github.com/repos/react-hook-form/react-hook-form; https://github.com/react-hook-form/react-hook-form/blob/master/LICENSE; https://react-hook-form.com/; https://react-hook-form.com/advanced-usage; https://github.com/react-hook-form/react-hook-form/blob/master/README.md</x:v>
      </x:c>
      <x:c r="AD17" s="8" t="str">
        <x:v>Editorial assessment of linked official output/docs; interaction and frame rate not benchmarked.</x:v>
      </x:c>
      <x:c r="AE17" s="8" t="str">
        <x:v>Official documentation endpoints returned 403 to the text browser; maintenance and API claims checked through the official GitHub repository. Demo link is official but was not visually inspected.</x:v>
      </x:c>
      <x:c r="AF17" s="12" t="d">
        <x:v>2026-10-17T12:00:00.000Z</x:v>
      </x:c>
      <x:c r="AG17" s="3" t="str">
        <x:v>Form state</x:v>
      </x:c>
      <x:c r="AH17" s="22" t="n">
        <x:v>83.8</x:v>
      </x:c>
      <x:c r="AI17" s="23"/>
      <x:c r="AJ17" s="23" t="n">
        <x:v>4</x:v>
      </x:c>
      <x:c r="AK17" s="23" t="n">
        <x:v>3</x:v>
      </x:c>
      <x:c r="AL17" s="23" t="n">
        <x:v>4</x:v>
      </x:c>
      <x:c r="AM17" s="23" t="n">
        <x:v>5</x:v>
      </x:c>
      <x:c r="AN17" s="23" t="n">
        <x:v>5</x:v>
      </x:c>
      <x:c r="AO17" s="23" t="n">
        <x:v>5</x:v>
      </x:c>
      <x:c r="AP17" s="23" t="n">
        <x:v>4</x:v>
      </x:c>
      <x:c r="AQ17" s="3" t="str">
        <x:v>medium</x:v>
      </x:c>
      <x:c r="AR17" s="3" t="str">
        <x:v>Use for form registration, validation state and reducing unnecessary input rerenders.</x:v>
      </x:c>
      <x:c r="AS17" s="3" t="str">
        <x:v>It does not choose error copy, focus recovery or accessible field markup for you.</x:v>
      </x:c>
      <x:c r="AT17" s="3" t="str">
        <x:v>React Aria Components; Base UI</x:v>
      </x:c>
      <x:c r="AU17" s="3" t="str">
        <x:v>https://react-hook-form.com/</x:v>
      </x:c>
      <x:c r="AV17" s="3" t="str">
        <x:v>Integration documentation; this link is guidance, not an additional live demonstration.</x:v>
      </x:c>
      <x:c r="AW17" s="3" t="str">
        <x:v>documented</x:v>
      </x:c>
      <x:c r="AX17" s="3" t="str">
        <x:v>qualified_named_core_scope</x:v>
      </x:c>
    </x:row>
    <x:row r="18" ht="36" hidden="0" customHeight="1">
      <x:c r="A18" s="3" t="str">
        <x:v>react-three-fiber</x:v>
      </x:c>
      <x:c r="B18" s="3" t="str">
        <x:v>React Three Fiber</x:v>
      </x:c>
      <x:c r="C18" s="3" t="str">
        <x:v>core</x:v>
      </x:c>
      <x:c r="D18" s="3" t="str">
        <x:v>3D and WebGPU</x:v>
      </x:c>
      <x:c r="E18" s="3" t="str">
        <x:v>A4; D1; D6; F2</x:v>
      </x:c>
      <x:c r="F18" s="3" t="str">
        <x:v>product_configurators; landing_pages</x:v>
      </x:c>
      <x:c r="G18" s="3" t="str">
        <x:v>Custom React product configurators with rich lighting, materials and interactive cameras.</x:v>
      </x:c>
      <x:c r="H18" s="3" t="str">
        <x:v>MIT</x:v>
      </x:c>
      <x:c r="I18" s="3" t="str">
        <x:v>permissive</x:v>
      </x:c>
      <x:c r="J18" s="3" t="str">
        <x:v>https://github.com/pmndrs/react-three-fiber</x:v>
      </x:c>
      <x:c r="K18" s="3" t="str">
        <x:v>https://r3f.docs.pmnd.rs/</x:v>
      </x:c>
      <x:c r="L18" s="3" t="str">
        <x:v>Excellent React fit; align R3F/React major versions, use a client canvas and accessible DOM controls.</x:v>
      </x:c>
      <x:c r="M18" s="3" t="str">
        <x:v>React renderer for Three.js; TypeScript; WebGL/WebGPU via Three.js</x:v>
      </x:c>
      <x:c r="N18" s="9" t="n">
        <x:v>5</x:v>
      </x:c>
      <x:c r="O18" s="3" t="str">
        <x:v>https://r3f.docs.pmnd.rs/getting-started/examples</x:v>
      </x:c>
      <x:c r="P18" s="3" t="str">
        <x:v>Official showcase includes T-shirt/configurator, glass/transmission and lighting scenes; editorial potential, preserving handbook benchmark separately.</x:v>
      </x:c>
      <x:c r="Q18" s="3" t="str">
        <x:v>Use demand rendering for idle configurators, instancing, compressed assets, sensible DPR and GPU resource cleanup; keep per-frame mutations out of React state.</x:v>
      </x:c>
      <x:c r="R18" s="3" t="str">
        <x:v>Renderer, not ready-made configurator or commerce backend. Models/textures/HDR assets and extra ecosystem packages need separate rights and budget checks.</x:v>
      </x:c>
      <x:c r="S18" s="11" t="d">
        <x:v>2026-10-15T12:00:00.000Z</x:v>
      </x:c>
      <x:c r="T18" s="3" t="str">
        <x:v>v9.8.2</x:v>
      </x:c>
      <x:c r="U18" s="11" t="str"/>
      <x:c r="V18" s="3" t="str">
        <x:v>pass: release inside 2026-04-17–2026-10-17</x:v>
      </x:c>
      <x:c r="W18" s="3" t="str">
        <x:v>pass</x:v>
      </x:c>
      <x:c r="X18" s="9" t="n">
        <x:v>33000</x:v>
      </x:c>
      <x:c r="Y18" s="11" t="d">
        <x:v>2026-10-17T12:00:00.000Z</x:v>
      </x:c>
      <x:c r="Z18" s="3" t="str">
        <x:v>Poimandres open-source collective</x:v>
      </x:c>
      <x:c r="AA18" s="3" t="str">
        <x:v>https://github.com/pmndrs/react-three-fiber/blob/master/LICENSE</x:v>
      </x:c>
      <x:c r="AB18" s="3" t="str">
        <x:v>https://github.com/pmndrs/react-three-fiber/releases/tag/v9.8.2</x:v>
      </x:c>
      <x:c r="AC18" s="3" t="str">
        <x:v>https://r3f.docs.pmnd.rs/; https://r3f.docs.pmnd.rs/getting-started/examples; https://api.github.com/repos/pmndrs/react-three-fiber; https://github.com/pmndrs/react-three-fiber/blob/master/LICENSE</x:v>
      </x:c>
      <x:c r="AD18" s="3" t="str">
        <x:v>Editorial assessment of linked official output/docs; interaction and frame rate not benchmarked.</x:v>
      </x:c>
      <x:c r="AE18" s="3" t="str">
        <x:v>Use with Three.js and selectively drei; existing handbook default retained.</x:v>
      </x:c>
      <x:c r="AF18" s="11" t="d">
        <x:v>2026-10-17T12:00:00.000Z</x:v>
      </x:c>
      <x:c r="AG18" s="3" t="str">
        <x:v>3D scene engine</x:v>
      </x:c>
      <x:c r="AH18" s="22" t="n">
        <x:v>82</x:v>
      </x:c>
      <x:c r="AI18" s="23" t="n">
        <x:v>5</x:v>
      </x:c>
      <x:c r="AJ18" s="23" t="n">
        <x:v>5</x:v>
      </x:c>
      <x:c r="AK18" s="23" t="n">
        <x:v>1</x:v>
      </x:c>
      <x:c r="AL18" s="23" t="n">
        <x:v>4</x:v>
      </x:c>
      <x:c r="AM18" s="23" t="n">
        <x:v>5</x:v>
      </x:c>
      <x:c r="AN18" s="23" t="n">
        <x:v>5</x:v>
      </x:c>
      <x:c r="AO18" s="23" t="n">
        <x:v>5</x:v>
      </x:c>
      <x:c r="AP18" s="23" t="n">
        <x:v>2</x:v>
      </x:c>
      <x:c r="AQ18" s="3" t="str">
        <x:v>high</x:v>
      </x:c>
      <x:c r="AR18" s="3" t="str">
        <x:v>Choose when a configurator needs custom scene composition, materials, controls or interactions in React.</x:v>
      </x:c>
      <x:c r="AS18" s="3" t="str">
        <x:v>Prefer model-viewer for one inspectable product; avoid 3D when static media answers the task.</x:v>
      </x:c>
      <x:c r="AT18" s="3" t="str">
        <x:v>&lt;model-viewer&gt;</x:v>
      </x:c>
      <x:c r="AU18" s="3" t="str">
        <x:v>https://blog.maximeheckel.com/posts/shading-motion/</x:v>
      </x:c>
      <x:c r="AV18" s="3" t="str">
        <x:v>Shading Motion (18 August2026): interactive frame differencing, decaying trails, velocity effects and motion blur using WebGPU compute shaders.</x:v>
      </x:c>
      <x:c r="AW18" s="3" t="str">
        <x:v>documented</x:v>
      </x:c>
      <x:c r="AX18" s="3" t="str">
        <x:v>qualified_named_core_scope</x:v>
      </x:c>
    </x:row>
    <x:row r="19" ht="36" hidden="0" customHeight="1">
      <x:c r="A19" s="8" t="str">
        <x:v>recharts</x:v>
      </x:c>
      <x:c r="B19" s="8" t="str">
        <x:v>Recharts</x:v>
      </x:c>
      <x:c r="C19" s="8" t="str">
        <x:v>core</x:v>
      </x:c>
      <x:c r="D19" s="8" t="str">
        <x:v>Charts and data visualisation</x:v>
      </x:c>
      <x:c r="E19" s="8" t="str">
        <x:v>C1; C2</x:v>
      </x:c>
      <x:c r="F19" s="8" t="str">
        <x:v>simple_charts; kpi_dashboards</x:v>
      </x:c>
      <x:c r="G19" s="8" t="str">
        <x:v>Composable React charts that inherit the app's design tokens.</x:v>
      </x:c>
      <x:c r="H19" s="8" t="str">
        <x:v>MIT</x:v>
      </x:c>
      <x:c r="I19" s="8" t="str">
        <x:v>permissive</x:v>
      </x:c>
      <x:c r="J19" s="8" t="str">
        <x:v>https://github.com/recharts/recharts</x:v>
      </x:c>
      <x:c r="K19" s="8" t="str">
        <x:v>https://recharts.github.io/en-US/guide/</x:v>
      </x:c>
      <x:c r="L19" s="8" t="str">
        <x:v>Excellent: declarative React components; use a client boundary and predictable container dimensions.</x:v>
      </x:c>
      <x:c r="M19" s="8" t="str">
        <x:v>React; TypeScript; SVG; D3 utilities</x:v>
      </x:c>
      <x:c r="N19" s="10" t="n">
        <x:v>4</x:v>
      </x:c>
      <x:c r="O19" s="8" t="str">
        <x:v>https://recharts.github.io/en-US/examples/</x:v>
      </x:c>
      <x:c r="P19" s="8" t="str">
        <x:v>Editorial potential from official synchronized, gradient-area and custom-tooltip examples; existing default retained.</x:v>
      </x:c>
      <x:c r="Q19" s="8" t="str">
        <x:v>SVG makes ordinary dashboard charts easy to style. Many marks and rapid tick streams increase DOM/update work; aggregate or choose a Canvas/GPU renderer.</x:v>
      </x:c>
      <x:c r="R19" s="8" t="str">
        <x:v>Not the default for high-volume tick streams; chart accessibility and comparison semantics still need authored patterns.</x:v>
      </x:c>
      <x:c r="S19" s="12" t="d">
        <x:v>2026-07-25T12:00:00.000Z</x:v>
      </x:c>
      <x:c r="T19" s="8" t="str">
        <x:v>v3.10.1</x:v>
      </x:c>
      <x:c r="U19" s="12" t="str"/>
      <x:c r="V19" s="8" t="str">
        <x:v>pass: release inside 2026-04-17–2026-10-17</x:v>
      </x:c>
      <x:c r="W19" s="8" t="str">
        <x:v>pass</x:v>
      </x:c>
      <x:c r="X19" s="10" t="n">
        <x:v>27600</x:v>
      </x:c>
      <x:c r="Y19" s="12" t="d">
        <x:v>2026-10-17T12:00:00.000Z</x:v>
      </x:c>
      <x:c r="Z19" s="8" t="str">
        <x:v>Recharts Group; community</x:v>
      </x:c>
      <x:c r="AA19" s="8" t="str">
        <x:v>https://github.com/recharts/recharts/blob/main/LICENSE</x:v>
      </x:c>
      <x:c r="AB19" s="8" t="str">
        <x:v>https://github.com/recharts/recharts/releases/tag/v3.10.1</x:v>
      </x:c>
      <x:c r="AC19" s="8" t="str">
        <x:v>https://recharts.github.io/en-US/guide/; https://recharts.github.io/en-US/examples/; https://api.github.com/repos/recharts/recharts; https://github.com/recharts/recharts/blob/main/LICENSE</x:v>
      </x:c>
      <x:c r="AD19" s="8" t="str">
        <x:v>Editorial assessment of linked official output/docs; interaction and frame rate not benchmarked.</x:v>
      </x:c>
      <x:c r="AE19" s="8" t="str">
        <x:v>Retains handbook normal-chart default rather than chasing a newer less-proven replacement.</x:v>
      </x:c>
      <x:c r="AF19" s="12" t="d">
        <x:v>2026-10-17T12:00:00.000Z</x:v>
      </x:c>
      <x:c r="AG19" s="3" t="str">
        <x:v>Chart renderer</x:v>
      </x:c>
      <x:c r="AH19" s="22" t="n">
        <x:v>84</x:v>
      </x:c>
      <x:c r="AI19" s="23" t="n">
        <x:v>4</x:v>
      </x:c>
      <x:c r="AJ19" s="23" t="n">
        <x:v>4</x:v>
      </x:c>
      <x:c r="AK19" s="23" t="n">
        <x:v>4</x:v>
      </x:c>
      <x:c r="AL19" s="23" t="n">
        <x:v>3</x:v>
      </x:c>
      <x:c r="AM19" s="23" t="n">
        <x:v>5</x:v>
      </x:c>
      <x:c r="AN19" s="23" t="n">
        <x:v>5</x:v>
      </x:c>
      <x:c r="AO19" s="23" t="n">
        <x:v>5</x:v>
      </x:c>
      <x:c r="AP19" s="23" t="n">
        <x:v>5</x:v>
      </x:c>
      <x:c r="AQ19" s="3" t="str">
        <x:v>low</x:v>
      </x:c>
      <x:c r="AR19" s="3" t="str">
        <x:v>Default to it for ordinary React KPI charts with a modest number of visible marks and a shared design system.</x:v>
      </x:c>
      <x:c r="AS19" s="3" t="str">
        <x:v>Use ECharts for dense analytical interactions and Lightweight Charts for specialised trading views.</x:v>
      </x:c>
      <x:c r="AT19" s="3" t="str">
        <x:v>Apache ECharts; Lightweight Charts</x:v>
      </x:c>
      <x:c r="AU19" s="3" t="str">
        <x:v>https://recharts.github.io/en-US/guide/</x:v>
      </x:c>
      <x:c r="AV19" s="3" t="str">
        <x:v>Integration documentation; this link is guidance, not an additional live demonstration.</x:v>
      </x:c>
      <x:c r="AW19" s="3" t="str">
        <x:v>documented</x:v>
      </x:c>
      <x:c r="AX19" s="3" t="str">
        <x:v>qualified_named_core_scope</x:v>
      </x:c>
    </x:row>
    <x:row r="20" ht="24" hidden="0" customHeight="1">
      <x:c r="A20" s="3" t="str">
        <x:v>shadcn_ui</x:v>
      </x:c>
      <x:c r="B20" s="3" t="str">
        <x:v>shadcn/ui</x:v>
      </x:c>
      <x:c r="C20" s="3" t="str">
        <x:v>core</x:v>
      </x:c>
      <x:c r="D20" s="3" t="str">
        <x:v>Component libraries and UI kits</x:v>
      </x:c>
      <x:c r="E20" s="3" t="str">
        <x:v>A1; A3; A4; A6; A10; B1; B4; B5; B6; B7; B8; B9; B10; E1; E2; E3; E4; F1; F3</x:v>
      </x:c>
      <x:c r="F20" s="3" t="str">
        <x:v>simple_charts; kpi_dashboards; realtime_trading; live_maps; landing_pages; product_configurators; multiplayer_whiteboards; video_timelines; network_graphs; ai_agents</x:v>
      </x:c>
      <x:c r="G20" s="3" t="str">
        <x:v>Ownable, polished React component source and application blocks that a generator can adapt.</x:v>
      </x:c>
      <x:c r="H20" s="3" t="str">
        <x:v>MIT</x:v>
      </x:c>
      <x:c r="I20" s="3" t="str">
        <x:v>permissive</x:v>
      </x:c>
      <x:c r="J20" s="3" t="str">
        <x:v>https://github.com/shadcn-ui/ui</x:v>
      </x:c>
      <x:c r="K20" s="3" t="str">
        <x:v>https://ui.shadcn.com/docs</x:v>
      </x:c>
      <x:c r="L20" s="3" t="str">
        <x:v>Excellent Next-first ecosystem; generated components often require client boundaries.</x:v>
      </x:c>
      <x:c r="M20" s="3" t="str">
        <x:v>React/TypeScript; Tailwind CSS; multiple primitive backends</x:v>
      </x:c>
      <x:c r="N20" s="9" t="n">
        <x:v>5</x:v>
      </x:c>
      <x:c r="O20" s="3" t="str">
        <x:v>https://ui.shadcn.com/examples/dashboard</x:v>
      </x:c>
      <x:c r="P20" s="3" t="str">
        <x:v>Editorial: sidebar, KPI cards, date controls and document table form a cohesive desktop dashboard.</x:v>
      </x:c>
      <x:c r="Q20" s="3" t="str">
        <x:v>Source ownership permits selective imports and client islands; tables need explicit virtualisation at scale.</x:v>
      </x:c>
      <x:c r="R20" s="3" t="str">
        <x:v>Copied source becomes your maintenance responsibility. Choose a consistent primitive backend. Command implementations inheriting cmdk need separate dependency review.</x:v>
      </x:c>
      <x:c r="S20" s="11" t="d">
        <x:v>2026-10-16T12:00:00.000Z</x:v>
      </x:c>
      <x:c r="T20" s="3" t="str">
        <x:v>shadcn@4.22.0</x:v>
      </x:c>
      <x:c r="U20" s="11" t="d">
        <x:v>2026-10-16T12:00:00.000Z</x:v>
      </x:c>
      <x:c r="V20" s="3" t="str">
        <x:v>verified_active_within_6_months</x:v>
      </x:c>
      <x:c r="W20" s="3" t="str">
        <x:v>pass</x:v>
      </x:c>
      <x:c r="X20" s="9" t="n">
        <x:v>125800</x:v>
      </x:c>
      <x:c r="Y20" s="11" t="d">
        <x:v>2026-10-17T12:00:00.000Z</x:v>
      </x:c>
      <x:c r="Z20" s="3" t="str">
        <x:v>shadcn at Vercel; community</x:v>
      </x:c>
      <x:c r="AA20" s="3" t="str">
        <x:v>https://github.com/shadcn-ui/ui/blob/main/LICENSE.md</x:v>
      </x:c>
      <x:c r="AB20" s="3" t="str">
        <x:v>https://github.com/shadcn-ui/ui/releases/tag/shadcn%404.22.0; https://github.com/shadcn-ui/ui/commit/d2fba50ee5b9113008b5bb908563527b7efd2f27</x:v>
      </x:c>
      <x:c r="AC20" s="3" t="str">
        <x:v>https://api.github.com/repos/shadcn-ui/ui; https://github.com/shadcn-ui/ui/blob/main/LICENSE.md; https://ui.shadcn.com/docs; https://ui.shadcn.com/examples/dashboard</x:v>
      </x:c>
      <x:c r="AD20" s="3" t="str">
        <x:v>Official homepage/demo also visually inspected live on 2026-10-17; no interaction or frame-rate benchmark.</x:v>
      </x:c>
      <x:c r="AE20" s="3" t="str">
        <x:v>Stars rounded from fresh GitHub API metadata. Root researcher visually reviewed the official dashboard live; score remains editorial, not benchmarked.</x:v>
      </x:c>
      <x:c r="AF20" s="11" t="d">
        <x:v>2026-10-17T12:00:00.000Z</x:v>
      </x:c>
      <x:c r="AG20" s="3" t="str">
        <x:v>Styled component kit</x:v>
      </x:c>
      <x:c r="AH20" s="22" t="n">
        <x:v>90</x:v>
      </x:c>
      <x:c r="AI20" s="23" t="n">
        <x:v>5</x:v>
      </x:c>
      <x:c r="AJ20" s="23" t="n">
        <x:v>4</x:v>
      </x:c>
      <x:c r="AK20" s="23" t="n">
        <x:v>4</x:v>
      </x:c>
      <x:c r="AL20" s="23" t="n">
        <x:v>4</x:v>
      </x:c>
      <x:c r="AM20" s="23" t="n">
        <x:v>5</x:v>
      </x:c>
      <x:c r="AN20" s="23" t="n">
        <x:v>5</x:v>
      </x:c>
      <x:c r="AO20" s="23" t="n">
        <x:v>5</x:v>
      </x:c>
      <x:c r="AP20" s="23" t="n">
        <x:v>4</x:v>
      </x:c>
      <x:c r="AQ20" s="3" t="str">
        <x:v>medium</x:v>
      </x:c>
      <x:c r="AR20" s="3" t="str">
        <x:v>Choose editable component code when a fast polished starting system and ownership of implementation matter.</x:v>
      </x:c>
      <x:c r="AS20" s="3" t="str">
        <x:v>Copied code needs upgrades; choose Mantine when a maintained packaged kit is preferable.</x:v>
      </x:c>
      <x:c r="AT20" s="3" t="str">
        <x:v>Mantine; Base UI</x:v>
      </x:c>
      <x:c r="AU20" s="3" t="str">
        <x:v>https://rauno.me/craft</x:v>
      </x:c>
      <x:c r="AV20" s="3" t="str">
        <x:v>Toolbar Morph, Spatial Tooltip and DD System craft studies; recent June/Aug2026 entries coexist with older examples.</x:v>
      </x:c>
      <x:c r="AW20" s="3" t="str">
        <x:v>documented</x:v>
      </x:c>
      <x:c r="AX20" s="3" t="str">
        <x:v>qualified_named_core_scope</x:v>
      </x:c>
    </x:row>
    <x:row r="21" ht="36" hidden="0" customHeight="1">
      <x:c r="A21" s="8" t="str">
        <x:v>sigma-js</x:v>
      </x:c>
      <x:c r="B21" s="8" t="str">
        <x:v>Sigma.js + Graphology</x:v>
      </x:c>
      <x:c r="C21" s="8" t="str">
        <x:v>core</x:v>
      </x:c>
      <x:c r="D21" s="8" t="str">
        <x:v>Graph and network visualisation</x:v>
      </x:c>
      <x:c r="E21" s="8" t="str">
        <x:v>C4</x:v>
      </x:c>
      <x:c r="F21" s="8" t="str">
        <x:v>network_graphs</x:v>
      </x:c>
      <x:c r="G21" s="8" t="str">
        <x:v>Exploring large relation networks with GPU rendering, search and neighbour focus.</x:v>
      </x:c>
      <x:c r="H21" s="8" t="str">
        <x:v>MIT</x:v>
      </x:c>
      <x:c r="I21" s="8" t="str">
        <x:v>permissive</x:v>
      </x:c>
      <x:c r="J21" s="8" t="str">
        <x:v>https://github.com/jacomyal/sigma.js</x:v>
      </x:c>
      <x:c r="K21" s="8" t="str">
        <x:v>https://www.sigmajs.org/get-started/quickstart/</x:v>
      </x:c>
      <x:c r="L21" s="8" t="str">
        <x:v>Good via imperative client component or community React binding; keep graph state outside frequent React renders.</x:v>
      </x:c>
      <x:c r="M21" s="8" t="str">
        <x:v>TypeScript; WebGL; Graphology</x:v>
      </x:c>
      <x:c r="N21" s="10" t="n">
        <x:v>4</x:v>
      </x:c>
      <x:c r="O21" s="8" t="str">
        <x:v>https://www.sigmajs.org/embed/homepage/demo/</x:v>
      </x:c>
      <x:c r="P21" s="8" t="str">
        <x:v>Live browser visual review 2026-10-17: ~9,000 AI-paper network, legend and search; dense overview needs focus/filtering to avoid a hairball.</x:v>
      </x:c>
      <x:c r="Q21" s="8" t="str">
        <x:v>WebGL renderer; Graphology supplies algorithms. Run expensive layout separately/worker-side and design label-level-of-detail.</x:v>
      </x:c>
      <x:c r="R21" s="8" t="str">
        <x:v>Not a node-editor/form UI. Graphology/layout package versions and licences are separate dependencies; giant graphs still need filtering or aggregation.</x:v>
      </x:c>
      <x:c r="S21" s="12" t="d">
        <x:v>2026-10-15T12:00:00.000Z</x:v>
      </x:c>
      <x:c r="T21" s="8" t="str">
        <x:v>sigma@4.0.3</x:v>
      </x:c>
      <x:c r="U21" s="12" t="str"/>
      <x:c r="V21" s="8" t="str">
        <x:v>pass: release inside 2026-04-17–2026-10-17</x:v>
      </x:c>
      <x:c r="W21" s="8" t="str">
        <x:v>pass</x:v>
      </x:c>
      <x:c r="X21" s="10" t="n">
        <x:v>12200</x:v>
      </x:c>
      <x:c r="Y21" s="12" t="d">
        <x:v>2026-10-17T12:00:00.000Z</x:v>
      </x:c>
      <x:c r="Z21" s="8" t="str">
        <x:v>Sciences Po médialab and OuestWare; gdotv support</x:v>
      </x:c>
      <x:c r="AA21" s="8" t="str">
        <x:v>https://github.com/jacomyal/sigma.js/blob/main/LICENSE.txt</x:v>
      </x:c>
      <x:c r="AB21" s="8" t="str">
        <x:v>https://github.com/jacomyal/sigma.js/releases/tag/sigma%404.0.3</x:v>
      </x:c>
      <x:c r="AC21" s="8" t="str">
        <x:v>https://www.sigmajs.org/get-started/quickstart/; https://www.sigmajs.org/embed/homepage/demo/; https://api.github.com/repos/jacomyal/sigma.js; https://github.com/jacomyal/sigma.js/blob/main/LICENSE.txt</x:v>
      </x:c>
      <x:c r="AD21" s="8" t="str">
        <x:v>Editorial assessment of linked official output/docs; interaction and frame rate not benchmarked.</x:v>
      </x:c>
      <x:c r="AE21" s="8" t="str">
        <x:v>Keep starter Sigma+Graphology as network default; React Flow serves a different interaction model.</x:v>
      </x:c>
      <x:c r="AF21" s="12" t="d">
        <x:v>2026-10-17T12:00:00.000Z</x:v>
      </x:c>
      <x:c r="AG21" s="3" t="str">
        <x:v>Network renderer</x:v>
      </x:c>
      <x:c r="AH21" s="22" t="n">
        <x:v>73</x:v>
      </x:c>
      <x:c r="AI21" s="23" t="n">
        <x:v>4</x:v>
      </x:c>
      <x:c r="AJ21" s="23" t="n">
        <x:v>5</x:v>
      </x:c>
      <x:c r="AK21" s="23" t="n">
        <x:v>1</x:v>
      </x:c>
      <x:c r="AL21" s="23" t="n">
        <x:v>5</x:v>
      </x:c>
      <x:c r="AM21" s="23" t="n">
        <x:v>3</x:v>
      </x:c>
      <x:c r="AN21" s="23" t="n">
        <x:v>4</x:v>
      </x:c>
      <x:c r="AO21" s="23" t="n">
        <x:v>4</x:v>
      </x:c>
      <x:c r="AP21" s="23" t="n">
        <x:v>3</x:v>
      </x:c>
      <x:c r="AQ21" s="3" t="str">
        <x:v>medium</x:v>
      </x:c>
      <x:c r="AR21" s="3" t="str">
        <x:v>Choose for interactive network exploration where many nodes/edges and neighbourhood isolation matter.</x:v>
      </x:c>
      <x:c r="AS21" s="3" t="str">
        <x:v>Do not use it as a substitute for a node-based workflow editor; layout and accessibility need separate work.</x:v>
      </x:c>
      <x:c r="AT21" s="3" t="str">
        <x:v>AntV G6; React Flow</x:v>
      </x:c>
      <x:c r="AU21" s="3" t="str">
        <x:v>https://www.sigmajs.org/get-started/quickstart/</x:v>
      </x:c>
      <x:c r="AV21" s="3" t="str">
        <x:v>Integration documentation; this link is guidance, not an additional live demonstration.</x:v>
      </x:c>
      <x:c r="AW21" s="3" t="str">
        <x:v>documented</x:v>
      </x:c>
      <x:c r="AX21" s="3" t="str">
        <x:v>qualified_named_core_scope</x:v>
      </x:c>
    </x:row>
    <x:row r="22" ht="36" hidden="0" customHeight="1">
      <x:c r="A22" s="3" t="str">
        <x:v>sonner</x:v>
      </x:c>
      <x:c r="B22" s="3" t="str">
        <x:v>Sonner</x:v>
      </x:c>
      <x:c r="C22" s="3" t="str">
        <x:v>core</x:v>
      </x:c>
      <x:c r="D22" s="3" t="str">
        <x:v>Component libraries and UI kits</x:v>
      </x:c>
      <x:c r="E22" s="3" t="str">
        <x:v>A6; B4; B8; B10</x:v>
      </x:c>
      <x:c r="F22" s="3" t="str">
        <x:v>simple_charts; kpi_dashboards; realtime_trading; live_maps; landing_pages; product_configurators; multiplayer_whiteboards; video_timelines; network_graphs; ai_agents</x:v>
      </x:c>
      <x:c r="G22" s="3" t="str">
        <x:v>Polished stacked toasts, promise progress and small undo/action confirmations.</x:v>
      </x:c>
      <x:c r="H22" s="3" t="str">
        <x:v>MIT</x:v>
      </x:c>
      <x:c r="I22" s="3" t="str">
        <x:v>permissive</x:v>
      </x:c>
      <x:c r="J22" s="3" t="str">
        <x:v>https://github.com/emilkowalski/sonner</x:v>
      </x:c>
      <x:c r="K22" s="3" t="str">
        <x:v>https://sonner.emilkowal.ski/</x:v>
      </x:c>
      <x:c r="L22" s="3" t="str">
        <x:v>Excellent; mount one client Toaster at the app shell and trigger from interactive code.</x:v>
      </x:c>
      <x:c r="M22" s="3" t="str">
        <x:v>React/TypeScript</x:v>
      </x:c>
      <x:c r="N22" s="9" t="n">
        <x:v>5</x:v>
      </x:c>
      <x:c r="O22" s="3" t="str">
        <x:v>https://sonner.emilkowal.ski/</x:v>
      </x:c>
      <x:c r="P22" s="3" t="str">
        <x:v>Editorial: live promise, action and stacked-notification interactions show exceptional small-motion polish.</x:v>
      </x:c>
      <x:c r="Q22" s="3" t="str">
        <x:v>Small, focused overlay surface; limit visible toasts and message frequency.</x:v>
      </x:c>
      <x:c r="R22" s="3" t="str">
        <x:v>Transient toasts cannot replace persistent errors, durable approvals or an activity inbox. Ensure actions remain reachable with keyboard and assistive tech.</x:v>
      </x:c>
      <x:c r="S22" s="11" t="d">
        <x:v>2026-08-09T12:00:00.000Z</x:v>
      </x:c>
      <x:c r="T22" s="3" t="str">
        <x:v>v2.0.8</x:v>
      </x:c>
      <x:c r="U22" s="11" t="d">
        <x:v>2026-08-10T12:00:00.000Z</x:v>
      </x:c>
      <x:c r="V22" s="3" t="str">
        <x:v>verified_active_within_6_months</x:v>
      </x:c>
      <x:c r="W22" s="3" t="str">
        <x:v>pass</x:v>
      </x:c>
      <x:c r="X22" s="9" t="n">
        <x:v>13000</x:v>
      </x:c>
      <x:c r="Y22" s="11" t="d">
        <x:v>2026-10-17T12:00:00.000Z</x:v>
      </x:c>
      <x:c r="Z22" s="3" t="str">
        <x:v>Emil Kowalski; community</x:v>
      </x:c>
      <x:c r="AA22" s="3" t="str">
        <x:v>https://github.com/emilkowalski/sonner/blob/main/LICENSE.md</x:v>
      </x:c>
      <x:c r="AB22" s="3" t="str">
        <x:v>https://github.com/emilkowalski/sonner/releases/tag/v2.0.8; https://github.com/emilkowalski/sonner/commit/8e4662b39255120b62138312058f5d77c0139a5e; https://github.com/emilkowalski/sonner/commit/6739aca5f668a33a4fd1d2fd9f758dff95c57466</x:v>
      </x:c>
      <x:c r="AC22" s="3" t="str">
        <x:v>https://api.github.com/repos/emilkowalski/sonner; https://github.com/emilkowalski/sonner/blob/main/LICENSE.md; https://sonner.emilkowal.ski/</x:v>
      </x:c>
      <x:c r="AD22" s="3" t="str">
        <x:v>Editorial assessment of linked official output/docs; interaction and frame rate not benchmarked.</x:v>
      </x:c>
      <x:c r="AE22" s="3" t="str">
        <x:v>Stars are rounded from fresh GitHub API metadata; visual scores are editorial, not measured benchmarks.</x:v>
      </x:c>
      <x:c r="AF22" s="11" t="d">
        <x:v>2026-10-17T12:00:00.000Z</x:v>
      </x:c>
      <x:c r="AG22" s="3" t="str">
        <x:v>Transient feedback</x:v>
      </x:c>
      <x:c r="AH22" s="22" t="n">
        <x:v>88</x:v>
      </x:c>
      <x:c r="AI22" s="23" t="n">
        <x:v>5</x:v>
      </x:c>
      <x:c r="AJ22" s="23" t="n">
        <x:v>4</x:v>
      </x:c>
      <x:c r="AK22" s="23" t="n">
        <x:v>4</x:v>
      </x:c>
      <x:c r="AL22" s="23" t="n">
        <x:v>4</x:v>
      </x:c>
      <x:c r="AM22" s="23" t="n">
        <x:v>5</x:v>
      </x:c>
      <x:c r="AN22" s="23" t="n">
        <x:v>4</x:v>
      </x:c>
      <x:c r="AO22" s="23" t="n">
        <x:v>4</x:v>
      </x:c>
      <x:c r="AP22" s="23" t="n">
        <x:v>5</x:v>
      </x:c>
      <x:c r="AQ22" s="3" t="str">
        <x:v>low</x:v>
      </x:c>
      <x:c r="AR22" s="3" t="str">
        <x:v>Use for brief, dismissible completion/error feedback and undo affordances.</x:v>
      </x:c>
      <x:c r="AS22" s="3" t="str">
        <x:v>Do not use transient toasts as a durable notification inbox or as the sole error channel.</x:v>
      </x:c>
      <x:c r="AT22" s="3" t="str">
        <x:v>Novu open-core Inbox</x:v>
      </x:c>
      <x:c r="AU22" s="3" t="str">
        <x:v>https://sonner.emilkowal.ski/</x:v>
      </x:c>
      <x:c r="AV22" s="3" t="str">
        <x:v>Integration documentation; this link is guidance, not an additional live demonstration.</x:v>
      </x:c>
      <x:c r="AW22" s="3" t="str">
        <x:v>documented</x:v>
      </x:c>
      <x:c r="AX22" s="3" t="str">
        <x:v>qualified_named_core_scope</x:v>
      </x:c>
    </x:row>
    <x:row r="23" ht="48" hidden="0" customHeight="1">
      <x:c r="A23" s="8" t="str">
        <x:v>streamdown</x:v>
      </x:c>
      <x:c r="B23" s="8" t="str">
        <x:v>Streamdown</x:v>
      </x:c>
      <x:c r="C23" s="8" t="str">
        <x:v>core</x:v>
      </x:c>
      <x:c r="D23" s="8" t="str">
        <x:v>AI interface patterns</x:v>
      </x:c>
      <x:c r="E23" s="8" t="str">
        <x:v>E1; E4</x:v>
      </x:c>
      <x:c r="F23" s="8" t="str">
        <x:v>ai_agents</x:v>
      </x:c>
      <x:c r="G23" s="8" t="str">
        <x:v>Stable, readable Markdown/code/tables while text arrives in incomplete chunks.</x:v>
      </x:c>
      <x:c r="H23" s="8" t="str">
        <x:v>Apache-2.0</x:v>
      </x:c>
      <x:c r="I23" s="8" t="str">
        <x:v>permissive</x:v>
      </x:c>
      <x:c r="J23" s="8" t="str">
        <x:v>https://github.com/vercel/streamdown</x:v>
      </x:c>
      <x:c r="K23" s="8" t="str">
        <x:v>https://streamdown.ai/docs</x:v>
      </x:c>
      <x:c r="L23" s="8" t="str">
        <x:v>Excellent: React renderer integrates with useChat; Tailwind source configuration and optional plugin CSS required.</x:v>
      </x:c>
      <x:c r="M23" s="8" t="str">
        <x:v>TypeScript; React; optional Shiki/KaTeX/Mermaid/CJK plugins</x:v>
      </x:c>
      <x:c r="N23" s="10" t="n">
        <x:v>4</x:v>
      </x:c>
      <x:c r="O23" s="8" t="str">
        <x:v>https://streamdown.ai/playground</x:v>
      </x:c>
      <x:c r="P23" s="8" t="str">
        <x:v>Rendered official playground inspected: clear typography, consistent formatting and multilingual output; no live throughput measurement.</x:v>
      </x:c>
      <x:c r="Q23" s="8" t="str">
        <x:v>2.7.0 release documents incremental highlighting, reuse of parsed blocks, frame-batched scrolling and bounded highlight cache; these are maintainer claims.</x:v>
      </x:c>
      <x:c r="R23" s="8" t="str">
        <x:v>Renderer only: does not verify citations or enforce tool permissions. Optional highlighting/math/diagram plugins affect bundle and CPU cost; configure URL hardening. Code plugin v2 needs Node20+.</x:v>
      </x:c>
      <x:c r="S23" s="12" t="d">
        <x:v>2026-09-30T12:00:00.000Z</x:v>
      </x:c>
      <x:c r="T23" s="8" t="str">
        <x:v>streamdown@2.7.0</x:v>
      </x:c>
      <x:c r="U23" s="12" t="d">
        <x:v>2026-10-16T12:00:00.000Z</x:v>
      </x:c>
      <x:c r="V23" s="8" t="str">
        <x:v>verified_active_within_6_months</x:v>
      </x:c>
      <x:c r="W23" s="8" t="str">
        <x:v>pass</x:v>
      </x:c>
      <x:c r="X23" s="10" t="n">
        <x:v>5700</x:v>
      </x:c>
      <x:c r="Y23" s="12" t="d">
        <x:v>2026-10-17T12:00:00.000Z</x:v>
      </x:c>
      <x:c r="Z23" s="8" t="str">
        <x:v>Vercel</x:v>
      </x:c>
      <x:c r="AA23" s="8" t="str">
        <x:v>https://github.com/vercel/streamdown/blob/main/LICENSE</x:v>
      </x:c>
      <x:c r="AB23" s="8" t="str">
        <x:v>https://api.github.com/repos/vercel/streamdown/releases?per_page=2; https://api.github.com/repos/vercel/streamdown/commits?per_page=1; https://github.com/vercel/streamdown/releases/tag/streamdown%402.7.0; https://github.com/vercel/streamdown/commit/fea4ef5baada951c0f907e29669d1cba1f8beec1</x:v>
      </x:c>
      <x:c r="AC23" s="8" t="str">
        <x:v>https://streamdown.ai/playground; https://streamdown.ai/; https://github.com/vercel/streamdown/releases/tag/streamdown%402.7.0; https://github.com/vercel/streamdown/blob/main/LICENSE</x:v>
      </x:c>
      <x:c r="AD23" s="8" t="str">
        <x:v>Editorial assessment of linked official output/docs; interaction and frame rate not benchmarked.</x:v>
      </x:c>
      <x:c r="AE23" s="8" t="str">
        <x:v>E4 contribution is safer rendering/link disclosure, not factual provenance verification.</x:v>
      </x:c>
      <x:c r="AF23" s="12" t="d">
        <x:v>2026-10-17T12:00:00.000Z</x:v>
      </x:c>
      <x:c r="AG23" s="3" t="str">
        <x:v>Streaming content</x:v>
      </x:c>
      <x:c r="AH23" s="22" t="n">
        <x:v>80</x:v>
      </x:c>
      <x:c r="AI23" s="23" t="n">
        <x:v>4</x:v>
      </x:c>
      <x:c r="AJ23" s="23" t="n">
        <x:v>4</x:v>
      </x:c>
      <x:c r="AK23" s="23" t="n">
        <x:v>3</x:v>
      </x:c>
      <x:c r="AL23" s="23" t="n">
        <x:v>4</x:v>
      </x:c>
      <x:c r="AM23" s="23" t="n">
        <x:v>5</x:v>
      </x:c>
      <x:c r="AN23" s="23" t="n">
        <x:v>4</x:v>
      </x:c>
      <x:c r="AO23" s="23" t="n">
        <x:v>4</x:v>
      </x:c>
      <x:c r="AP23" s="23" t="n">
        <x:v>4</x:v>
      </x:c>
      <x:c r="AQ23" s="3" t="str">
        <x:v>medium</x:v>
      </x:c>
      <x:c r="AR23" s="3" t="str">
        <x:v>Choose for progressively streamed Markdown, code and structured text in an AI interface.</x:v>
      </x:c>
      <x:c r="AS23" s="3" t="str">
        <x:v>Sanitise and constrain content; it does not validate citations, permissions or model output truth.</x:v>
      </x:c>
      <x:c r="AT23" s="3" t="str">
        <x:v>assistant-ui</x:v>
      </x:c>
      <x:c r="AU23" s="3" t="str">
        <x:v>https://streamdown.ai/docs</x:v>
      </x:c>
      <x:c r="AV23" s="3" t="str">
        <x:v>Integration documentation; this link is guidance, not an additional live demonstration.</x:v>
      </x:c>
      <x:c r="AW23" s="3" t="str">
        <x:v>documented</x:v>
      </x:c>
      <x:c r="AX23" s="3" t="str">
        <x:v>qualified_named_core_scope</x:v>
      </x:c>
    </x:row>
    <x:row r="24" ht="36" hidden="0" customHeight="1">
      <x:c r="A24" s="3" t="str">
        <x:v>style_dictionary</x:v>
      </x:c>
      <x:c r="B24" s="3" t="str">
        <x:v>Style Dictionary</x:v>
      </x:c>
      <x:c r="C24" s="3" t="str">
        <x:v>core</x:v>
      </x:c>
      <x:c r="D24" s="3" t="str">
        <x:v>Component libraries and UI kits</x:v>
      </x:c>
      <x:c r="E24" s="3" t="str">
        <x:v>A1; A2; A3; A4; A5</x:v>
      </x:c>
      <x:c r="F24" s="3" t="str">
        <x:v>simple_charts; kpi_dashboards; realtime_trading; live_maps; landing_pages; product_configurators; multiplayer_whiteboards; video_timelines; network_graphs; ai_agents</x:v>
      </x:c>
      <x:c r="G24" s="3" t="str">
        <x:v>Compile one token source into CSS/JS/native outputs, including modern DTCG token types.</x:v>
      </x:c>
      <x:c r="H24" s="3" t="str">
        <x:v>Apache-2.0</x:v>
      </x:c>
      <x:c r="I24" s="3" t="str">
        <x:v>permissive</x:v>
      </x:c>
      <x:c r="J24" s="3" t="str">
        <x:v>https://github.com/style-dictionary/style-dictionary</x:v>
      </x:c>
      <x:c r="K24" s="3" t="str">
        <x:v>https://styledictionary.com/</x:v>
      </x:c>
      <x:c r="L24" s="3" t="str">
        <x:v>Excellent build-time fit; emit CSS variables or TS consumed by React/Next.</x:v>
      </x:c>
      <x:c r="M24" s="3" t="str">
        <x:v>Node.js/JavaScript/TypeScript build tool</x:v>
      </x:c>
      <x:c r="N24" s="9" t="n">
        <x:v>3</x:v>
      </x:c>
      <x:c r="O24" s="3" t="str">
        <x:v>https://www.style-dictionary-play.dev/</x:v>
      </x:c>
      <x:c r="P24" s="3" t="str">
        <x:v>Editorial: token playground is clear; this infrastructure has no intrinsic rendered UI.</x:v>
      </x:c>
      <x:c r="Q24" s="3" t="str">
        <x:v>Build-time processing; no client runtime required.</x:v>
      </x:c>
      <x:c r="R24" s="3" t="str">
        <x:v>Token naming, contrast, theme semantics and visual design remain your responsibility. Plan migration when token schemas change.</x:v>
      </x:c>
      <x:c r="S24" s="11" t="d">
        <x:v>2026-10-16T12:00:00.000Z</x:v>
      </x:c>
      <x:c r="T24" s="3" t="str">
        <x:v>v5.7.0</x:v>
      </x:c>
      <x:c r="U24" s="11" t="d">
        <x:v>2026-10-16T12:00:00.000Z</x:v>
      </x:c>
      <x:c r="V24" s="3" t="str">
        <x:v>verified_active_within_6_months</x:v>
      </x:c>
      <x:c r="W24" s="3" t="str">
        <x:v>pass</x:v>
      </x:c>
      <x:c r="X24" s="9" t="n">
        <x:v>4900</x:v>
      </x:c>
      <x:c r="Y24" s="11" t="d">
        <x:v>2026-10-17T12:00:00.000Z</x:v>
      </x:c>
      <x:c r="Z24" s="3" t="str">
        <x:v>Independent Style Dictionary maintainers; originally Amazon</x:v>
      </x:c>
      <x:c r="AA24" s="3" t="str">
        <x:v>https://github.com/style-dictionary/style-dictionary/blob/main/LICENSE</x:v>
      </x:c>
      <x:c r="AB24" s="3" t="str">
        <x:v>https://github.com/style-dictionary/style-dictionary/releases/tag/v5.7.0; https://github.com/style-dictionary/style-dictionary/commit/745264a62d01037581c6654fb4ac66bb3d245f07</x:v>
      </x:c>
      <x:c r="AC24" s="3" t="str">
        <x:v>https://api.github.com/repos/style-dictionary/style-dictionary; https://github.com/style-dictionary/style-dictionary/blob/main/LICENSE; https://styledictionary.com/; https://www.style-dictionary-play.dev/</x:v>
      </x:c>
      <x:c r="AD24" s="3" t="str">
        <x:v>Editorial assessment of linked official output/docs; interaction and frame rate not benchmarked.</x:v>
      </x:c>
      <x:c r="AE24" s="3" t="str">
        <x:v>Stars are rounded from fresh GitHub API metadata; visual scores are editorial, not measured benchmarks.</x:v>
      </x:c>
      <x:c r="AF24" s="11" t="d">
        <x:v>2026-10-17T12:00:00.000Z</x:v>
      </x:c>
      <x:c r="AG24" s="3" t="str">
        <x:v>Token pipeline</x:v>
      </x:c>
      <x:c r="AH24" s="22" t="n">
        <x:v>90</x:v>
      </x:c>
      <x:c r="AI24" s="23"/>
      <x:c r="AJ24" s="23"/>
      <x:c r="AK24" s="23"/>
      <x:c r="AL24" s="23" t="n">
        <x:v>5</x:v>
      </x:c>
      <x:c r="AM24" s="23" t="n">
        <x:v>4</x:v>
      </x:c>
      <x:c r="AN24" s="23" t="n">
        <x:v>5</x:v>
      </x:c>
      <x:c r="AO24" s="23" t="n">
        <x:v>5</x:v>
      </x:c>
      <x:c r="AP24" s="23" t="n">
        <x:v>3</x:v>
      </x:c>
      <x:c r="AQ24" s="3" t="str">
        <x:v>medium</x:v>
      </x:c>
      <x:c r="AR24" s="3" t="str">
        <x:v>Use when semantic design tokens need a versioned transformation pipeline across outputs or platforms.</x:v>
      </x:c>
      <x:c r="AS24" s="3" t="str">
        <x:v>Do not add build infrastructure merely to style one small Tailwind application.</x:v>
      </x:c>
      <x:c r="AT24" s="3" t="str">
        <x:v>Tailwind CSS; Open Props</x:v>
      </x:c>
      <x:c r="AU24" s="3" t="str">
        <x:v>https://styledictionary.com/</x:v>
      </x:c>
      <x:c r="AV24" s="3" t="str">
        <x:v>Integration documentation; this link is guidance, not an additional live demonstration.</x:v>
      </x:c>
      <x:c r="AW24" s="3" t="str">
        <x:v>documented</x:v>
      </x:c>
      <x:c r="AX24" s="3" t="str">
        <x:v>qualified_named_core_scope</x:v>
      </x:c>
    </x:row>
    <x:row r="25" ht="36" hidden="0" customHeight="1">
      <x:c r="A25" s="8" t="str">
        <x:v>tailwindcss</x:v>
      </x:c>
      <x:c r="B25" s="8" t="str">
        <x:v>Tailwind CSS</x:v>
      </x:c>
      <x:c r="C25" s="8" t="str">
        <x:v>core</x:v>
      </x:c>
      <x:c r="D25" s="8" t="str">
        <x:v>Component libraries and UI kits</x:v>
      </x:c>
      <x:c r="E25" s="8" t="str">
        <x:v>A1; A2; A3; A4; A5; A6</x:v>
      </x:c>
      <x:c r="F25" s="8" t="str">
        <x:v>simple_charts; kpi_dashboards; realtime_trading; live_maps; landing_pages; product_configurators; multiplayer_whiteboards; video_timelines; network_graphs; ai_agents</x:v>
      </x:c>
      <x:c r="G25" s="8" t="str">
        <x:v>CSS-first semantic themes, OKLCH colour scales, responsive density and precise surface styling.</x:v>
      </x:c>
      <x:c r="H25" s="8" t="str">
        <x:v>MIT</x:v>
      </x:c>
      <x:c r="I25" s="8" t="str">
        <x:v>permissive</x:v>
      </x:c>
      <x:c r="J25" s="8" t="str">
        <x:v>https://github.com/tailwindlabs/tailwindcss</x:v>
      </x:c>
      <x:c r="K25" s="8" t="str">
        <x:v>https://tailwindcss.com/docs</x:v>
      </x:c>
      <x:c r="L25" s="8" t="str">
        <x:v>Excellent in React/Next; CSS works in server components and adds no component runtime.</x:v>
      </x:c>
      <x:c r="M25" s="8" t="str">
        <x:v>Framework-agnostic CSS; build tooling in Rust/TypeScript</x:v>
      </x:c>
      <x:c r="N25" s="10" t="n">
        <x:v>4</x:v>
      </x:c>
      <x:c r="O25" s="8" t="str">
        <x:v>https://tailwindcss.com/showcase</x:v>
      </x:c>
      <x:c r="P25" s="8" t="str">
        <x:v>Editorial: official showcase demonstrates premium layouts; framework itself is unstyled.</x:v>
      </x:c>
      <x:c r="Q25" s="8" t="str">
        <x:v>Generated static CSS; use transform/opacity for motion. Backdrop blur remains a GPU/compositing cost.</x:v>
      </x:c>
      <x:c r="R25" s="8" t="str">
        <x:v>A token/utility foundation, not accessible components. Configure semantic colours and density; Tailwind Plus assets are commercial.</x:v>
      </x:c>
      <x:c r="S25" s="12" t="d">
        <x:v>2026-07-16T12:00:00.000Z</x:v>
      </x:c>
      <x:c r="T25" s="8" t="str">
        <x:v>v4.3.3</x:v>
      </x:c>
      <x:c r="U25" s="12" t="d">
        <x:v>2026-10-16T12:00:00.000Z</x:v>
      </x:c>
      <x:c r="V25" s="8" t="str">
        <x:v>verified_active_within_6_months</x:v>
      </x:c>
      <x:c r="W25" s="8" t="str">
        <x:v>pass</x:v>
      </x:c>
      <x:c r="X25" s="10" t="n">
        <x:v>97900</x:v>
      </x:c>
      <x:c r="Y25" s="12" t="d">
        <x:v>2026-10-17T12:00:00.000Z</x:v>
      </x:c>
      <x:c r="Z25" s="8" t="str">
        <x:v>Tailwind Labs</x:v>
      </x:c>
      <x:c r="AA25" s="8" t="str">
        <x:v>https://github.com/tailwindlabs/tailwindcss/blob/main/LICENSE</x:v>
      </x:c>
      <x:c r="AB25" s="8" t="str">
        <x:v>https://github.com/tailwindlabs/tailwindcss/releases/tag/v4.3.3; https://github.com/tailwindlabs/tailwindcss/commit/f7f47f8e98b0312784515605901dbb0c907d28bf</x:v>
      </x:c>
      <x:c r="AC25" s="8" t="str">
        <x:v>https://api.github.com/repos/tailwindlabs/tailwindcss; https://github.com/tailwindlabs/tailwindcss/blob/main/LICENSE; https://tailwindcss.com/docs; https://tailwindcss.com/showcase</x:v>
      </x:c>
      <x:c r="AD25" s="8" t="str">
        <x:v>Editorial assessment of linked official output/docs; interaction and frame rate not benchmarked.</x:v>
      </x:c>
      <x:c r="AE25" s="8" t="str">
        <x:v>Stars are rounded from fresh GitHub API metadata; visual scores are editorial, not measured benchmarks.</x:v>
      </x:c>
      <x:c r="AF25" s="12" t="d">
        <x:v>2026-10-17T12:00:00.000Z</x:v>
      </x:c>
      <x:c r="AG25" s="3" t="str">
        <x:v>CSS foundation</x:v>
      </x:c>
      <x:c r="AH25" s="22" t="n">
        <x:v>80</x:v>
      </x:c>
      <x:c r="AI25" s="23" t="n">
        <x:v>4</x:v>
      </x:c>
      <x:c r="AJ25" s="23" t="n">
        <x:v>3</x:v>
      </x:c>
      <x:c r="AK25" s="23" t="n">
        <x:v>2</x:v>
      </x:c>
      <x:c r="AL25" s="23" t="n">
        <x:v>5</x:v>
      </x:c>
      <x:c r="AM25" s="23" t="n">
        <x:v>5</x:v>
      </x:c>
      <x:c r="AN25" s="23" t="n">
        <x:v>5</x:v>
      </x:c>
      <x:c r="AO25" s="23" t="n">
        <x:v>5</x:v>
      </x:c>
      <x:c r="AP25" s="23" t="n">
        <x:v>4</x:v>
      </x:c>
      <x:c r="AQ25" s="3" t="str">
        <x:v>medium</x:v>
      </x:c>
      <x:c r="AR25" s="3" t="str">
        <x:v>Choose a utility/CSS theme foundation when you want precise tokens, density and surface control.</x:v>
      </x:c>
      <x:c r="AS25" s="3" t="str">
        <x:v>It does not supply focus behaviour or accessibility semantics; pair with a component system.</x:v>
      </x:c>
      <x:c r="AT25" s="3" t="str">
        <x:v>Open Props</x:v>
      </x:c>
      <x:c r="AU25" s="3" t="str">
        <x:v>https://tailwindcss.com/docs</x:v>
      </x:c>
      <x:c r="AV25" s="3" t="str">
        <x:v>Integration documentation; this link is guidance, not an additional live demonstration.</x:v>
      </x:c>
      <x:c r="AW25" s="3" t="str">
        <x:v>documented</x:v>
      </x:c>
      <x:c r="AX25" s="3" t="str">
        <x:v>qualified_named_core_scope</x:v>
      </x:c>
    </x:row>
    <x:row r="26" ht="36" hidden="0" customHeight="1">
      <x:c r="A26" s="3" t="str">
        <x:v>tanstack_query</x:v>
      </x:c>
      <x:c r="B26" s="3" t="str">
        <x:v>TanStack Query</x:v>
      </x:c>
      <x:c r="C26" s="3" t="str">
        <x:v>core</x:v>
      </x:c>
      <x:c r="D26" s="3" t="str">
        <x:v>Component libraries and UI kits</x:v>
      </x:c>
      <x:c r="E26" s="3" t="str">
        <x:v>A6; B7; B8; B10; C6</x:v>
      </x:c>
      <x:c r="F26" s="3" t="str">
        <x:v>simple_charts; kpi_dashboards; realtime_trading; live_maps; product_configurators; multiplayer_whiteboards; video_timelines; network_graphs; ai_agents</x:v>
      </x:c>
      <x:c r="G26" s="3" t="str">
        <x:v>Responsive async states, optimistic updates with rollback, caching and background refresh.</x:v>
      </x:c>
      <x:c r="H26" s="3" t="str">
        <x:v>MIT</x:v>
      </x:c>
      <x:c r="I26" s="3" t="str">
        <x:v>permissive</x:v>
      </x:c>
      <x:c r="J26" s="3" t="str">
        <x:v>https://github.com/TanStack/query</x:v>
      </x:c>
      <x:c r="K26" s="3" t="str">
        <x:v>https://tanstack.com/query/latest/docs</x:v>
      </x:c>
      <x:c r="L26" s="3" t="str">
        <x:v>Excellent React/Next integration; define cache ownership and hydration boundaries.</x:v>
      </x:c>
      <x:c r="M26" s="3" t="str">
        <x:v>TypeScript; React and other framework adapters</x:v>
      </x:c>
      <x:c r="N26" s="9" t="n">
        <x:v>3</x:v>
      </x:c>
      <x:c r="O26" s="3" t="str">
        <x:v>https://tanstack.com/query/latest/docs/framework/react/guides/optimistic-updates</x:v>
      </x:c>
      <x:c r="P26" s="3" t="str">
        <x:v>Editorial: optimistic-update examples; library manages state rather than appearance.</x:v>
      </x:c>
      <x:c r="Q26" s="3" t="str">
        <x:v>Avoids redundant fetching and supports granular subscriptions; tune stale times and stream update batching.</x:v>
      </x:c>
      <x:c r="R26" s="3" t="str">
        <x:v>Does not provide a realtime transport, CRDT, undo history or an offline conflict-resolution policy. Invalidation and optimistic rollback need explicit design.</x:v>
      </x:c>
      <x:c r="S26" s="11" t="d">
        <x:v>2026-10-17T12:00:00.000Z</x:v>
      </x:c>
      <x:c r="T26" s="3" t="str">
        <x:v>@tanstack/react-query@5.104.4</x:v>
      </x:c>
      <x:c r="U26" s="11" t="d">
        <x:v>2026-10-17T12:00:00.000Z</x:v>
      </x:c>
      <x:c r="V26" s="3" t="str">
        <x:v>verified_active_within_6_months</x:v>
      </x:c>
      <x:c r="W26" s="3" t="str">
        <x:v>pass</x:v>
      </x:c>
      <x:c r="X26" s="9" t="n">
        <x:v>50400</x:v>
      </x:c>
      <x:c r="Y26" s="11" t="d">
        <x:v>2026-10-17T12:00:00.000Z</x:v>
      </x:c>
      <x:c r="Z26" s="3" t="str">
        <x:v>TanStack maintainers and sponsors</x:v>
      </x:c>
      <x:c r="AA26" s="3" t="str">
        <x:v>https://github.com/TanStack/query/blob/main/LICENSE</x:v>
      </x:c>
      <x:c r="AB26" s="3" t="str">
        <x:v>https://github.com/TanStack/query/releases/tag/%40tanstack/react-query%405.104.4; https://github.com/TanStack/query/commit/1099ebb4446bb6357e1c2dc849866ee14e3d6a96; https://github.com/TanStack/query/commit/1fee0443dbeb346b8401557ca286a66cdec7ad71</x:v>
      </x:c>
      <x:c r="AC26" s="3" t="str">
        <x:v>https://api.github.com/repos/TanStack/query; https://github.com/TanStack/query/blob/main/LICENSE; https://tanstack.com/query/latest/docs; https://tanstack.com/query/latest/docs/framework/react/guides/optimistic-updates</x:v>
      </x:c>
      <x:c r="AD26" s="3" t="str">
        <x:v>Editorial assessment of linked official output/docs; interaction and frame rate not benchmarked.</x:v>
      </x:c>
      <x:c r="AE26" s="3" t="str">
        <x:v>Stars are rounded from fresh GitHub API metadata; visual scores are editorial, not measured benchmarks.</x:v>
      </x:c>
      <x:c r="AF26" s="11" t="d">
        <x:v>2026-10-17T12:00:00.000Z</x:v>
      </x:c>
      <x:c r="AG26" s="3" t="str">
        <x:v>Server state</x:v>
      </x:c>
      <x:c r="AH26" s="22" t="n">
        <x:v>92.3</x:v>
      </x:c>
      <x:c r="AI26" s="23"/>
      <x:c r="AJ26" s="23" t="n">
        <x:v>5</x:v>
      </x:c>
      <x:c r="AK26" s="23"/>
      <x:c r="AL26" s="23" t="n">
        <x:v>4</x:v>
      </x:c>
      <x:c r="AM26" s="23" t="n">
        <x:v>5</x:v>
      </x:c>
      <x:c r="AN26" s="23" t="n">
        <x:v>5</x:v>
      </x:c>
      <x:c r="AO26" s="23" t="n">
        <x:v>5</x:v>
      </x:c>
      <x:c r="AP26" s="23" t="n">
        <x:v>3</x:v>
      </x:c>
      <x:c r="AQ26" s="3" t="str">
        <x:v>medium</x:v>
      </x:c>
      <x:c r="AR26" s="3" t="str">
        <x:v>Use for cached remote state, invalidation, optimistic mutations and explicit rollback paths.</x:v>
      </x:c>
      <x:c r="AS26" s="3" t="str">
        <x:v>It is not a CRDT or an offline conflict-resolution engine.</x:v>
      </x:c>
      <x:c r="AT26" s="3" t="str">
        <x:v>Yjs; Loro</x:v>
      </x:c>
      <x:c r="AU26" s="3" t="str">
        <x:v>https://tanstack.com/query/latest/docs</x:v>
      </x:c>
      <x:c r="AV26" s="3" t="str">
        <x:v>Integration documentation; this link is guidance, not an additional live demonstration.</x:v>
      </x:c>
      <x:c r="AW26" s="3" t="str">
        <x:v>documented</x:v>
      </x:c>
      <x:c r="AX26" s="3" t="str">
        <x:v>qualified_named_core_scope</x:v>
      </x:c>
    </x:row>
    <x:row r="27" ht="36" hidden="0" customHeight="1">
      <x:c r="A27" s="8" t="str">
        <x:v>tanstack_table</x:v>
      </x:c>
      <x:c r="B27" s="8" t="str">
        <x:v>TanStack Table</x:v>
      </x:c>
      <x:c r="C27" s="8" t="str">
        <x:v>core</x:v>
      </x:c>
      <x:c r="D27" s="8" t="str">
        <x:v>Component libraries and UI kits</x:v>
      </x:c>
      <x:c r="E27" s="8" t="str">
        <x:v>B6; B7; C2; C6</x:v>
      </x:c>
      <x:c r="F27" s="8" t="str">
        <x:v>kpi_dashboards; realtime_trading; ai_agents; network_graphs</x:v>
      </x:c>
      <x:c r="G27" s="8" t="str">
        <x:v>Ownable headless data tables with sorting, filtering, grouping, pinning and selection.</x:v>
      </x:c>
      <x:c r="H27" s="8" t="str">
        <x:v>MIT</x:v>
      </x:c>
      <x:c r="I27" s="8" t="str">
        <x:v>permissive</x:v>
      </x:c>
      <x:c r="J27" s="8" t="str">
        <x:v>https://github.com/TanStack/table</x:v>
      </x:c>
      <x:c r="K27" s="8" t="str">
        <x:v>https://tanstack.com/table/latest/docs</x:v>
      </x:c>
      <x:c r="L27" s="8" t="str">
        <x:v>Excellent React adapter; render custom semantic markup and combine with the chosen UI kit.</x:v>
      </x:c>
      <x:c r="M27" s="8" t="str">
        <x:v>TypeScript headless core; React/Vue/Svelte/Solid adapters</x:v>
      </x:c>
      <x:c r="N27" s="10" t="n">
        <x:v>4</x:v>
      </x:c>
      <x:c r="O27" s="8" t="str">
        <x:v>https://tanstack.com/table/latest/docs/framework/react/examples/virtualized-rows</x:v>
      </x:c>
      <x:c r="P27" s="8" t="str">
        <x:v>Editorial: composable virtualised rows demo; production visual polish comes from the surrounding UI kit.</x:v>
      </x:c>
      <x:c r="Q27" s="8" t="str">
        <x:v>Pair with TanStack Virtual for large DOM lists; memoise columns/data and measure update/resize cost.</x:v>
      </x:c>
      <x:c r="R27" s="8" t="str">
        <x:v>No automatic accessibility or visual design from headless state. v9 is current; existing v8 examples require migration review.</x:v>
      </x:c>
      <x:c r="S27" s="12" t="d">
        <x:v>2026-10-12T12:00:00.000Z</x:v>
      </x:c>
      <x:c r="T27" s="8" t="str">
        <x:v>@tanstack/react-table@9.3.1</x:v>
      </x:c>
      <x:c r="U27" s="12" t="d">
        <x:v>2026-10-12T12:00:00.000Z</x:v>
      </x:c>
      <x:c r="V27" s="8" t="str">
        <x:v>verified_active_within_6_months</x:v>
      </x:c>
      <x:c r="W27" s="8" t="str">
        <x:v>pass</x:v>
      </x:c>
      <x:c r="X27" s="10" t="n">
        <x:v>28500</x:v>
      </x:c>
      <x:c r="Y27" s="12" t="d">
        <x:v>2026-10-17T12:00:00.000Z</x:v>
      </x:c>
      <x:c r="Z27" s="8" t="str">
        <x:v>TanStack maintainers and sponsors</x:v>
      </x:c>
      <x:c r="AA27" s="8" t="str">
        <x:v>https://github.com/TanStack/table/blob/main/LICENSE</x:v>
      </x:c>
      <x:c r="AB27" s="8" t="str">
        <x:v>https://github.com/TanStack/table/releases/tag/%40tanstack/react-table%409.3.1; https://github.com/TanStack/table/commit/95c4768496c07b45b1e65d8e33c3291ac66eae9b; https://github.com/TanStack/table/commit/67e8251a34edc96c3d68c3bbba88bf26f9103844</x:v>
      </x:c>
      <x:c r="AC27" s="8" t="str">
        <x:v>https://api.github.com/repos/TanStack/table; https://github.com/TanStack/table/blob/main/LICENSE; https://tanstack.com/table/latest/docs; https://tanstack.com/table/latest/docs/framework/react/examples/virtualized-rows</x:v>
      </x:c>
      <x:c r="AD27" s="8" t="str">
        <x:v>Editorial assessment of linked official output/docs; interaction and frame rate not benchmarked.</x:v>
      </x:c>
      <x:c r="AE27" s="8" t="str">
        <x:v>Stars are rounded from fresh GitHub API metadata; visual scores are editorial, not measured benchmarks.</x:v>
      </x:c>
      <x:c r="AF27" s="12" t="d">
        <x:v>2026-10-17T12:00:00.000Z</x:v>
      </x:c>
      <x:c r="AG27" s="3" t="str">
        <x:v>Data table</x:v>
      </x:c>
      <x:c r="AH27" s="22" t="n">
        <x:v>82</x:v>
      </x:c>
      <x:c r="AI27" s="23" t="n">
        <x:v>4</x:v>
      </x:c>
      <x:c r="AJ27" s="23" t="n">
        <x:v>5</x:v>
      </x:c>
      <x:c r="AK27" s="23" t="n">
        <x:v>2</x:v>
      </x:c>
      <x:c r="AL27" s="23" t="n">
        <x:v>4</x:v>
      </x:c>
      <x:c r="AM27" s="23" t="n">
        <x:v>5</x:v>
      </x:c>
      <x:c r="AN27" s="23" t="n">
        <x:v>5</x:v>
      </x:c>
      <x:c r="AO27" s="23" t="n">
        <x:v>5</x:v>
      </x:c>
      <x:c r="AP27" s="23" t="n">
        <x:v>3</x:v>
      </x:c>
      <x:c r="AQ27" s="3" t="str">
        <x:v>medium</x:v>
      </x:c>
      <x:c r="AR27" s="3" t="str">
        <x:v>Choose a headless table when the visual and interaction model must be owned by your app.</x:v>
      </x:c>
      <x:c r="AS27" s="3" t="str">
        <x:v>Prefer AG Grid for a ready grid; pair with Virtual when row rendering becomes the bottleneck.</x:v>
      </x:c>
      <x:c r="AT27" s="3" t="str">
        <x:v>AG Grid Community; VisActor VTable</x:v>
      </x:c>
      <x:c r="AU27" s="3" t="str">
        <x:v>https://tanstack.com/table/latest/docs</x:v>
      </x:c>
      <x:c r="AV27" s="3" t="str">
        <x:v>Integration documentation; this link is guidance, not an additional live demonstration.</x:v>
      </x:c>
      <x:c r="AW27" s="3" t="str">
        <x:v>documented</x:v>
      </x:c>
      <x:c r="AX27" s="3" t="str">
        <x:v>qualified_named_core_scope</x:v>
      </x:c>
    </x:row>
    <x:row r="28" ht="36" hidden="0" customHeight="1">
      <x:c r="A28" s="3" t="str">
        <x:v>tanstack_virtual</x:v>
      </x:c>
      <x:c r="B28" s="3" t="str">
        <x:v>TanStack Virtual</x:v>
      </x:c>
      <x:c r="C28" s="3" t="str">
        <x:v>core</x:v>
      </x:c>
      <x:c r="D28" s="3" t="str">
        <x:v>Component libraries and UI kits</x:v>
      </x:c>
      <x:c r="E28" s="3" t="str">
        <x:v>A8; B6; B7; C2; C6</x:v>
      </x:c>
      <x:c r="F28" s="3" t="str">
        <x:v>kpi_dashboards; realtime_trading; ai_agents; video_timelines; network_graphs</x:v>
      </x:c>
      <x:c r="G28" s="3" t="str">
        <x:v>Window large row/column collections while preserving custom rendering and layout.</x:v>
      </x:c>
      <x:c r="H28" s="3" t="str">
        <x:v>MIT</x:v>
      </x:c>
      <x:c r="I28" s="3" t="str">
        <x:v>permissive</x:v>
      </x:c>
      <x:c r="J28" s="3" t="str">
        <x:v>https://github.com/TanStack/virtual</x:v>
      </x:c>
      <x:c r="K28" s="3" t="str">
        <x:v>https://tanstack.com/virtual/latest/docs</x:v>
      </x:c>
      <x:c r="L28" s="3" t="str">
        <x:v>Excellent React adapter; client-side measurement and hydration need deliberate sizing.</x:v>
      </x:c>
      <x:c r="M28" s="3" t="str">
        <x:v>TypeScript headless core; React and other framework adapters</x:v>
      </x:c>
      <x:c r="N28" s="9" t="n">
        <x:v>3</x:v>
      </x:c>
      <x:c r="O28" s="3" t="str">
        <x:v>https://tanstack.com/virtual/latest/docs/framework/react/examples/dynamic</x:v>
      </x:c>
      <x:c r="P28" s="3" t="str">
        <x:v>Editorial: functional dynamic-height list demo; a performance primitive rather than a visual kit.</x:v>
      </x:c>
      <x:c r="Q28" s="3" t="str">
        <x:v>Renders only the visible window plus overscan; tune estimates, measurement and scroll anchoring for dynamic content.</x:v>
      </x:c>
      <x:c r="R28" s="3" t="str">
        <x:v>Variable-height streaming rows and browser find/print/accessibility can be tricky. Virtualisation is not backend pagination.</x:v>
      </x:c>
      <x:c r="S28" s="11" t="d">
        <x:v>2026-10-16T12:00:00.000Z</x:v>
      </x:c>
      <x:c r="T28" s="3" t="str">
        <x:v>@tanstack/react-virtual@3.14.21</x:v>
      </x:c>
      <x:c r="U28" s="11" t="d">
        <x:v>2026-10-16T12:00:00.000Z</x:v>
      </x:c>
      <x:c r="V28" s="3" t="str">
        <x:v>verified_active_within_6_months</x:v>
      </x:c>
      <x:c r="W28" s="3" t="str">
        <x:v>pass</x:v>
      </x:c>
      <x:c r="X28" s="9" t="n">
        <x:v>7100</x:v>
      </x:c>
      <x:c r="Y28" s="11" t="d">
        <x:v>2026-10-17T12:00:00.000Z</x:v>
      </x:c>
      <x:c r="Z28" s="3" t="str">
        <x:v>TanStack maintainers and sponsors</x:v>
      </x:c>
      <x:c r="AA28" s="3" t="str">
        <x:v>https://github.com/TanStack/virtual/blob/main/LICENSE</x:v>
      </x:c>
      <x:c r="AB28" s="3" t="str">
        <x:v>https://github.com/TanStack/virtual/releases/tag/%40tanstack/react-virtual%403.14.21; https://github.com/TanStack/virtual/commit/28ff2cab7a970f4e0908229d65a0da8803903900; https://github.com/TanStack/virtual/commit/05bb4d3e75359442e7a650f1814bd496e382bc3d</x:v>
      </x:c>
      <x:c r="AC28" s="3" t="str">
        <x:v>https://api.github.com/repos/TanStack/virtual; https://github.com/TanStack/virtual/blob/main/LICENSE; https://tanstack.com/virtual/latest/docs; https://tanstack.com/virtual/latest/docs/framework/react/examples/dynamic</x:v>
      </x:c>
      <x:c r="AD28" s="3" t="str">
        <x:v>Editorial assessment of linked official output/docs; interaction and frame rate not benchmarked.</x:v>
      </x:c>
      <x:c r="AE28" s="3" t="str">
        <x:v>Stars are rounded from fresh GitHub API metadata; visual scores are editorial, not measured benchmarks.</x:v>
      </x:c>
      <x:c r="AF28" s="11" t="d">
        <x:v>2026-10-17T12:00:00.000Z</x:v>
      </x:c>
      <x:c r="AG28" s="3" t="str">
        <x:v>Virtualisation</x:v>
      </x:c>
      <x:c r="AH28" s="22" t="n">
        <x:v>82.5</x:v>
      </x:c>
      <x:c r="AI28" s="23"/>
      <x:c r="AJ28" s="23" t="n">
        <x:v>4</x:v>
      </x:c>
      <x:c r="AK28" s="23" t="n">
        <x:v>2</x:v>
      </x:c>
      <x:c r="AL28" s="23" t="n">
        <x:v>5</x:v>
      </x:c>
      <x:c r="AM28" s="23" t="n">
        <x:v>5</x:v>
      </x:c>
      <x:c r="AN28" s="23" t="n">
        <x:v>5</x:v>
      </x:c>
      <x:c r="AO28" s="23" t="n">
        <x:v>5</x:v>
      </x:c>
      <x:c r="AP28" s="23" t="n">
        <x:v>3</x:v>
      </x:c>
      <x:c r="AQ28" s="3" t="str">
        <x:v>medium</x:v>
      </x:c>
      <x:c r="AR28" s="3" t="str">
        <x:v>Use when windowing a long list/table can reduce DOM work without changing the data model.</x:v>
      </x:c>
      <x:c r="AS28" s="3" t="str">
        <x:v>It does not add grid editing, sorting or accessible offscreen content automatically.</x:v>
      </x:c>
      <x:c r="AT28" s="3" t="str">
        <x:v>VisActor VTable; AG Grid Community</x:v>
      </x:c>
      <x:c r="AU28" s="3" t="str">
        <x:v>https://web.dev/articles/optimize-inp</x:v>
      </x:c>
      <x:c r="AV28" s="3" t="str">
        <x:v>Break down input delay, processing time and presentation delay.</x:v>
      </x:c>
      <x:c r="AW28" s="3" t="str">
        <x:v>documented</x:v>
      </x:c>
      <x:c r="AX28" s="3" t="str">
        <x:v>qualified_named_core_scope</x:v>
      </x:c>
    </x:row>
    <x:row r="29" ht="48" hidden="0" customHeight="1">
      <x:c r="A29" s="8" t="str">
        <x:v>tiptap</x:v>
      </x:c>
      <x:c r="B29" s="8" t="str">
        <x:v>Tiptap OSS Editor</x:v>
      </x:c>
      <x:c r="C29" s="8" t="str">
        <x:v>core</x:v>
      </x:c>
      <x:c r="D29" s="8" t="str">
        <x:v>Canvas and collaboration</x:v>
      </x:c>
      <x:c r="E29" s="8" t="str">
        <x:v>D3; D5; E1; E3</x:v>
      </x:c>
      <x:c r="F29" s="8" t="str">
        <x:v>ai_agents; multiplayer_whiteboards; video_timelines</x:v>
      </x:c>
      <x:c r="G29" s="8" t="str">
        <x:v>A headless editor with a mature extension ecosystem and Yjs collaboration support.</x:v>
      </x:c>
      <x:c r="H29" s="8" t="str">
        <x:v>MIT</x:v>
      </x:c>
      <x:c r="I29" s="8" t="str">
        <x:v>permissive</x:v>
      </x:c>
      <x:c r="J29" s="8" t="str">
        <x:v>https://github.com/ueberdosis/tiptap</x:v>
      </x:c>
      <x:c r="K29" s="8" t="str">
        <x:v>https://tiptap.dev/docs/editor/getting-started/overview</x:v>
      </x:c>
      <x:c r="L29" s="8" t="str">
        <x:v>Excellent official Next.js/React docs; use immediatelyRender:false where prescribed to prevent hydration issues.</x:v>
      </x:c>
      <x:c r="M29" s="8" t="str">
        <x:v>TypeScript; ProseMirror; React/Vue/vanilla bindings</x:v>
      </x:c>
      <x:c r="N29" s="10" t="n">
        <x:v>4</x:v>
      </x:c>
      <x:c r="O29" s="8" t="str">
        <x:v>https://tiptap.dev/docs/editor/getting-started/overview</x:v>
      </x:c>
      <x:c r="P29" s="8" t="str">
        <x:v>Official extension/editor documentation; editorial potential of the headless core, not a claim all promoted commercial UI is OSS.</x:v>
      </x:c>
      <x:c r="Q29" s="8" t="str">
        <x:v>Separate editor transactions from React chrome; avoid rerendering the page on each keystroke. Collaborative large-document load depends on extensions/provider.</x:v>
      </x:c>
      <x:c r="R29" s="8" t="str">
        <x:v>OSS editor core MIT; hosted collaboration, comments, tracked changes, pages and some UI/AI packages may be paid or separately licensed. Check each selected package.</x:v>
      </x:c>
      <x:c r="S29" s="12" t="d">
        <x:v>2026-10-13T12:00:00.000Z</x:v>
      </x:c>
      <x:c r="T29" s="8" t="str">
        <x:v>v3.32.0</x:v>
      </x:c>
      <x:c r="U29" s="12" t="str"/>
      <x:c r="V29" s="8" t="str">
        <x:v>pass: release inside 2026-04-17–2026-10-17</x:v>
      </x:c>
      <x:c r="W29" s="8" t="str">
        <x:v>pass</x:v>
      </x:c>
      <x:c r="X29" s="10" t="n">
        <x:v>38800</x:v>
      </x:c>
      <x:c r="Y29" s="12" t="d">
        <x:v>2026-10-17T12:00:00.000Z</x:v>
      </x:c>
      <x:c r="Z29" s="8" t="str">
        <x:v>Tiptap GmbH</x:v>
      </x:c>
      <x:c r="AA29" s="8" t="str">
        <x:v>https://github.com/ueberdosis/tiptap/blob/main/LICENSE.md</x:v>
      </x:c>
      <x:c r="AB29" s="8" t="str">
        <x:v>https://github.com/ueberdosis/tiptap/releases/tag/v3.32.0</x:v>
      </x:c>
      <x:c r="AC29" s="8" t="str">
        <x:v>https://tiptap.dev/docs/editor/getting-started/overview; https://tiptap.dev/docs/editor/getting-started/overview; https://api.github.com/repos/ueberdosis/tiptap; https://github.com/ueberdosis/tiptap/blob/main/LICENSE.md</x:v>
      </x:c>
      <x:c r="AD29" s="8" t="str">
        <x:v>Editorial assessment of linked official output/docs; interaction and frame rate not benchmarked.</x:v>
      </x:c>
      <x:c r="AE29" s="8" t="str">
        <x:v>Use core+Yjs/self-hosted transport for permissive collaboration. Do not tag all Tiptap product features MIT.</x:v>
      </x:c>
      <x:c r="AF29" s="12" t="d">
        <x:v>2026-10-17T12:00:00.000Z</x:v>
      </x:c>
      <x:c r="AG29" s="3" t="str">
        <x:v>Rich text editor</x:v>
      </x:c>
      <x:c r="AH29" s="22" t="n">
        <x:v>86</x:v>
      </x:c>
      <x:c r="AI29" s="23" t="n">
        <x:v>4</x:v>
      </x:c>
      <x:c r="AJ29" s="23" t="n">
        <x:v>5</x:v>
      </x:c>
      <x:c r="AK29" s="23" t="n">
        <x:v>3</x:v>
      </x:c>
      <x:c r="AL29" s="23" t="n">
        <x:v>4</x:v>
      </x:c>
      <x:c r="AM29" s="23" t="n">
        <x:v>5</x:v>
      </x:c>
      <x:c r="AN29" s="23" t="n">
        <x:v>5</x:v>
      </x:c>
      <x:c r="AO29" s="23" t="n">
        <x:v>5</x:v>
      </x:c>
      <x:c r="AP29" s="23" t="n">
        <x:v>4</x:v>
      </x:c>
      <x:c r="AQ29" s="3" t="str">
        <x:v>medium</x:v>
      </x:c>
      <x:c r="AR29" s="3" t="str">
        <x:v>Choose rich-text editing when an extension ecosystem and quicker assembly outweigh low-level control.</x:v>
      </x:c>
      <x:c r="AS29" s="3" t="str">
        <x:v>Verify each collaboration/comment extension separately; several advanced services/extensions are paid.</x:v>
      </x:c>
      <x:c r="AT29" s="3" t="str">
        <x:v>Lexical</x:v>
      </x:c>
      <x:c r="AU29" s="3" t="str">
        <x:v>https://tiptap.dev/docs/editor/getting-started/overview</x:v>
      </x:c>
      <x:c r="AV29" s="3" t="str">
        <x:v>Integration documentation; this link is guidance, not an additional live demonstration.</x:v>
      </x:c>
      <x:c r="AW29" s="3" t="str">
        <x:v>documented</x:v>
      </x:c>
      <x:c r="AX29" s="3" t="str">
        <x:v>qualified_named_core_scope</x:v>
      </x:c>
    </x:row>
    <x:row r="30" ht="24" hidden="0" customHeight="1">
      <x:c r="A30" s="3" t="str">
        <x:v>yjs</x:v>
      </x:c>
      <x:c r="B30" s="3" t="str">
        <x:v>Yjs</x:v>
      </x:c>
      <x:c r="C30" s="3" t="str">
        <x:v>core</x:v>
      </x:c>
      <x:c r="D30" s="3" t="str">
        <x:v>Canvas and collaboration</x:v>
      </x:c>
      <x:c r="E30" s="3" t="str">
        <x:v>D3; D5</x:v>
      </x:c>
      <x:c r="F30" s="3" t="str">
        <x:v>multiplayer_whiteboards; ai_agents</x:v>
      </x:c>
      <x:c r="G30" s="3" t="str">
        <x:v>Merging shared editor/canvas document state with a broad CRDT provider ecosystem.</x:v>
      </x:c>
      <x:c r="H30" s="3" t="str">
        <x:v>MIT</x:v>
      </x:c>
      <x:c r="I30" s="3" t="str">
        <x:v>permissive</x:v>
      </x:c>
      <x:c r="J30" s="3" t="str">
        <x:v>https://github.com/yjs/yjs</x:v>
      </x:c>
      <x:c r="K30" s="3" t="str">
        <x:v>https://docs.yjs.dev/</x:v>
      </x:c>
      <x:c r="L30" s="3" t="str">
        <x:v>Good framework-agnostic state engine; subscribe only affected views and create one document/provider per collaboration scope.</x:v>
      </x:c>
      <x:c r="M30" s="3" t="str">
        <x:v>JavaScript; CRDT shared types; provider/editor bindings</x:v>
      </x:c>
      <x:c r="N30" s="9" t="n">
        <x:v>3</x:v>
      </x:c>
      <x:c r="O30" s="3" t="str">
        <x:v>https://docs.yjs.dev/ecosystem/editor-bindings/tiptap2</x:v>
      </x:c>
      <x:c r="P30" s="3" t="str">
        <x:v>No standalone visual skin: score reflects enabled presence/cursor experience in documented bindings; editorial, no sync-load benchmark.</x:v>
      </x:c>
      <x:c r="Q30" s="3" t="str">
        <x:v>CRDT deltas avoid replacing full shared documents; provider persistence, compaction, awareness frequency and room sizing determine real scalability.</x:v>
      </x:c>
      <x:c r="R30" s="3" t="str">
        <x:v>Not a hosted backend or authorisation layer. Presence is ephemeral; server auth, schema migration, selective undo, reconnect and malicious-update handling must be designed.</x:v>
      </x:c>
      <x:c r="S30" s="11" t="d">
        <x:v>2026-09-23T12:00:00.000Z</x:v>
      </x:c>
      <x:c r="T30" s="3" t="str">
        <x:v>v13.6.33</x:v>
      </x:c>
      <x:c r="U30" s="11" t="str"/>
      <x:c r="V30" s="3" t="str">
        <x:v>pass: release inside 2026-04-17–2026-10-17</x:v>
      </x:c>
      <x:c r="W30" s="3" t="str">
        <x:v>pass</x:v>
      </x:c>
      <x:c r="X30" s="9" t="n">
        <x:v>22900</x:v>
      </x:c>
      <x:c r="Y30" s="11" t="d">
        <x:v>2026-10-17T12:00:00.000Z</x:v>
      </x:c>
      <x:c r="Z30" s="3" t="str">
        <x:v>Kevin Jahns; community; RWTH Aachen contributions</x:v>
      </x:c>
      <x:c r="AA30" s="3" t="str">
        <x:v>https://github.com/yjs/yjs/blob/main/LICENSE</x:v>
      </x:c>
      <x:c r="AB30" s="3" t="str">
        <x:v>https://github.com/yjs/yjs/releases/tag/v13.6.33</x:v>
      </x:c>
      <x:c r="AC30" s="3" t="str">
        <x:v>https://docs.yjs.dev/; https://docs.yjs.dev/ecosystem/editor-bindings/tiptap2; https://api.github.com/repos/yjs/yjs; https://github.com/yjs/yjs/blob/main/LICENSE</x:v>
      </x:c>
      <x:c r="AD30" s="3" t="str">
        <x:v>Editorial assessment of linked official output/docs; interaction and frame rate not benchmarked.</x:v>
      </x:c>
      <x:c r="AE30" s="3" t="str">
        <x:v>MIT verified from licence text despite GitHub API NOASSERTION; use Tiptap or Lexical bindings for visible UI.</x:v>
      </x:c>
      <x:c r="AF30" s="11" t="d">
        <x:v>2026-10-17T12:00:00.000Z</x:v>
      </x:c>
      <x:c r="AG30" s="3" t="str">
        <x:v>Collaboration sync</x:v>
      </x:c>
      <x:c r="AH30" s="22" t="n">
        <x:v>86.2</x:v>
      </x:c>
      <x:c r="AI30" s="23"/>
      <x:c r="AJ30" s="23" t="n">
        <x:v>5</x:v>
      </x:c>
      <x:c r="AK30" s="23"/>
      <x:c r="AL30" s="23" t="n">
        <x:v>4</x:v>
      </x:c>
      <x:c r="AM30" s="23" t="n">
        <x:v>4</x:v>
      </x:c>
      <x:c r="AN30" s="23" t="n">
        <x:v>5</x:v>
      </x:c>
      <x:c r="AO30" s="23" t="n">
        <x:v>5</x:v>
      </x:c>
      <x:c r="AP30" s="23" t="n">
        <x:v>2</x:v>
      </x:c>
      <x:c r="AQ30" s="3" t="str">
        <x:v>high</x:v>
      </x:c>
      <x:c r="AR30" s="3" t="str">
        <x:v>Choose a mature CRDT ecosystem when editor bindings and existing providers suit your document model.</x:v>
      </x:c>
      <x:c r="AS30" s="3" t="str">
        <x:v>Transport, auth, persistence, presence and user-level undo still need explicit design.</x:v>
      </x:c>
      <x:c r="AT30" s="3" t="str">
        <x:v>Automerge; Loro</x:v>
      </x:c>
      <x:c r="AU30" s="3" t="str">
        <x:v>https://docs.yjs.dev/</x:v>
      </x:c>
      <x:c r="AV30" s="3" t="str">
        <x:v>Integration documentation; this link is guidance, not an additional live demonstration.</x:v>
      </x:c>
      <x:c r="AW30" s="3" t="str">
        <x:v>documented</x:v>
      </x:c>
      <x:c r="AX30" s="3" t="str">
        <x:v>qualified_named_core_scope</x:v>
      </x:c>
    </x:row>
    <x:row r="31" ht="36" hidden="0" customHeight="1">
      <x:c r="A31" s="8" t="str">
        <x:v>ag_grid_community</x:v>
      </x:c>
      <x:c r="B31" s="8" t="str">
        <x:v>AG Grid Community</x:v>
      </x:c>
      <x:c r="C31" s="8" t="str">
        <x:v>situational</x:v>
      </x:c>
      <x:c r="D31" s="8" t="str">
        <x:v>Component libraries and UI kits</x:v>
      </x:c>
      <x:c r="E31" s="8" t="str">
        <x:v>A8; B6; B7; C2; C6</x:v>
      </x:c>
      <x:c r="F31" s="8" t="str">
        <x:v>kpi_dashboards; realtime_trading</x:v>
      </x:c>
      <x:c r="G31" s="8" t="str">
        <x:v>A mature virtualised desktop data grid with column controls, editing and high-frequency update support.</x:v>
      </x:c>
      <x:c r="H31" s="8" t="str">
        <x:v>MIT (ag-grid-community and React wrapper only); Enterprise commercial</x:v>
      </x:c>
      <x:c r="I31" s="8" t="str">
        <x:v>permissive</x:v>
      </x:c>
      <x:c r="J31" s="8" t="str">
        <x:v>https://github.com/ag-grid/ag-grid</x:v>
      </x:c>
      <x:c r="K31" s="8" t="str">
        <x:v>https://www.ag-grid.com/react-data-grid/</x:v>
      </x:c>
      <x:c r="L31" s="8" t="str">
        <x:v>Excellent React wrapper; client-rendered grid in Next.</x:v>
      </x:c>
      <x:c r="M31" s="8" t="str">
        <x:v>TypeScript core; React/Angular/Vue wrappers</x:v>
      </x:c>
      <x:c r="N31" s="10" t="n">
        <x:v>4</x:v>
      </x:c>
      <x:c r="O31" s="8" t="str">
        <x:v>https://www.ag-grid.com/react-data-grid/getting-started/</x:v>
      </x:c>
      <x:c r="P31" s="8" t="str">
        <x:v>Editorial: clean themed starter grid; official flagship demos may include Enterprise features.</x:v>
      </x:c>
      <x:c r="Q31" s="8" t="str">
        <x:v>DOM row/column virtualisation; transaction batching and stable row IDs matter for frequent updates.</x:v>
      </x:c>
      <x:c r="R31" s="8" t="str">
        <x:v>Community packages are MIT; Enterprise modules are commercial. Grouping, pivoting and server-side row model must be checked against the edition matrix.</x:v>
      </x:c>
      <x:c r="S31" s="12" t="d">
        <x:v>2026-09-16T12:00:00.000Z</x:v>
      </x:c>
      <x:c r="T31" s="8" t="str">
        <x:v>release-36.2.0</x:v>
      </x:c>
      <x:c r="U31" s="12" t="d">
        <x:v>2026-10-16T12:00:00.000Z</x:v>
      </x:c>
      <x:c r="V31" s="8" t="str">
        <x:v>verified_active_within_6_months</x:v>
      </x:c>
      <x:c r="W31" s="8" t="str">
        <x:v>pass</x:v>
      </x:c>
      <x:c r="X31" s="10" t="n">
        <x:v>15600</x:v>
      </x:c>
      <x:c r="Y31" s="12" t="d">
        <x:v>2026-10-17T12:00:00.000Z</x:v>
      </x:c>
      <x:c r="Z31" s="8" t="str">
        <x:v>AG Grid Ltd</x:v>
      </x:c>
      <x:c r="AA31" s="8" t="str">
        <x:v>https://github.com/ag-grid/ag-grid/blob/latest/LICENSE.txt</x:v>
      </x:c>
      <x:c r="AB31" s="8" t="str">
        <x:v>https://github.com/ag-grid/ag-grid/releases/tag/release-36.2.0; https://github.com/ag-grid/ag-grid/commit/1773972f5c1f3ab0cb47dd5796160c4cf35fbd0c</x:v>
      </x:c>
      <x:c r="AC31" s="8" t="str">
        <x:v>https://api.github.com/repos/ag-grid/ag-grid; https://github.com/ag-grid/ag-grid/blob/latest/LICENSE.txt; https://www.ag-grid.com/react-data-grid/; https://www.ag-grid.com/react-data-grid/getting-started/</x:v>
      </x:c>
      <x:c r="AD31" s="8" t="str">
        <x:v>Editorial assessment of linked official output/docs; interaction and frame rate not benchmarked.</x:v>
      </x:c>
      <x:c r="AE31" s="8" t="str">
        <x:v>Stars are rounded from fresh GitHub API metadata; visual scores are editorial, not measured benchmarks.</x:v>
      </x:c>
      <x:c r="AF31" s="12" t="d">
        <x:v>2026-10-17T12:00:00.000Z</x:v>
      </x:c>
      <x:c r="AG31" s="3" t="str">
        <x:v>Data table</x:v>
      </x:c>
      <x:c r="AH31" s="22" t="n">
        <x:v>92</x:v>
      </x:c>
      <x:c r="AI31" s="23" t="n">
        <x:v>4</x:v>
      </x:c>
      <x:c r="AJ31" s="23" t="n">
        <x:v>5</x:v>
      </x:c>
      <x:c r="AK31" s="23" t="n">
        <x:v>4</x:v>
      </x:c>
      <x:c r="AL31" s="23" t="n">
        <x:v>5</x:v>
      </x:c>
      <x:c r="AM31" s="23" t="n">
        <x:v>5</x:v>
      </x:c>
      <x:c r="AN31" s="23" t="n">
        <x:v>5</x:v>
      </x:c>
      <x:c r="AO31" s="23" t="n">
        <x:v>5</x:v>
      </x:c>
      <x:c r="AP31" s="23" t="n">
        <x:v>4</x:v>
      </x:c>
      <x:c r="AQ31" s="3" t="str">
        <x:v>medium</x:v>
      </x:c>
      <x:c r="AR31" s="3" t="str">
        <x:v>Choose a maintained DOM data grid when built-in editing, selection and keyboard workflows matter.</x:v>
      </x:c>
      <x:c r="AS31" s="3" t="str">
        <x:v>Check the Community feature boundary before planning grouping, pivoting or enterprise-only capabilities.</x:v>
      </x:c>
      <x:c r="AT31" s="3" t="str">
        <x:v>TanStack Table; VisActor VTable</x:v>
      </x:c>
      <x:c r="AU31" s="3" t="str">
        <x:v>https://www.ag-grid.com/react-data-grid/</x:v>
      </x:c>
      <x:c r="AV31" s="3" t="str">
        <x:v>Integration documentation; this link is guidance, not an additional live demonstration.</x:v>
      </x:c>
      <x:c r="AW31" s="3" t="str">
        <x:v>documented</x:v>
      </x:c>
      <x:c r="AX31" s="3" t="str">
        <x:v>qualified_named_core_scope</x:v>
      </x:c>
    </x:row>
    <x:row r="32" ht="48" hidden="0" customHeight="1">
      <x:c r="A32" s="3" t="str">
        <x:v>animejs</x:v>
      </x:c>
      <x:c r="B32" s="3" t="str">
        <x:v>Anime.js</x:v>
      </x:c>
      <x:c r="C32" s="3" t="str">
        <x:v>situational</x:v>
      </x:c>
      <x:c r="D32" s="3" t="str">
        <x:v>Motion and animation</x:v>
      </x:c>
      <x:c r="E32" s="3" t="str">
        <x:v>A5; F1; F2</x:v>
      </x:c>
      <x:c r="F32" s="3" t="str">
        <x:v>landing_pages; product_configurators</x:v>
      </x:c>
      <x:c r="G32" s="3" t="str">
        <x:v>Art-directed timelines, SVG/text choreography and scroll-linked storytelling.</x:v>
      </x:c>
      <x:c r="H32" s="3" t="str">
        <x:v>MIT</x:v>
      </x:c>
      <x:c r="I32" s="3" t="str">
        <x:v>permissive</x:v>
      </x:c>
      <x:c r="J32" s="3" t="str">
        <x:v>https://github.com/juliangarnier/anime</x:v>
      </x:c>
      <x:c r="K32" s="3" t="str">
        <x:v>https://animejs.com/documentation/</x:v>
      </x:c>
      <x:c r="L32" s="3" t="str">
        <x:v>Good: official React createScope/useEffect recipe includes revert cleanup; browser-only animation setup in Next.js.</x:v>
      </x:c>
      <x:c r="M32" s="3" t="str">
        <x:v>JavaScript/TypeScript; framework-agnostic; DOM/SVG/objects; Three.js adapter</x:v>
      </x:c>
      <x:c r="N32" s="9" t="n">
        <x:v>5</x:v>
      </x:c>
      <x:c r="O32" s="3" t="str">
        <x:v>https://animejs.com/</x:v>
      </x:c>
      <x:c r="P32" s="3" t="str">
        <x:v>Rendered official home hero inspected: layered luminous circular motion composition and strong type hierarchy; runtime smoothness unmeasured.</x:v>
      </x:c>
      <x:c r="Q32" s="3" t="str">
        <x:v>v4.5.0 addresses large overlapping timelines and frame scheduling; use WAAPI/compositor-friendly properties when suitable. Engine cannot make layout-heavy effects cheap.</x:v>
      </x:c>
      <x:c r="R32" s="3" t="str">
        <x:v>Imperative animation requires lifecycle cleanup and ownership boundaries with React; reduced-motion fallback is app responsibility. More authored work than prebuilt Motion components.</x:v>
      </x:c>
      <x:c r="S32" s="11" t="d">
        <x:v>2026-06-22T12:00:00.000Z</x:v>
      </x:c>
      <x:c r="T32" s="3" t="str">
        <x:v>v4.5.0</x:v>
      </x:c>
      <x:c r="U32" s="11" t="d">
        <x:v>2026-08-09T12:00:00.000Z</x:v>
      </x:c>
      <x:c r="V32" s="3" t="str">
        <x:v>verified_active_within_6_months</x:v>
      </x:c>
      <x:c r="W32" s="3" t="str">
        <x:v>pass</x:v>
      </x:c>
      <x:c r="X32" s="9" t="n">
        <x:v>73700</x:v>
      </x:c>
      <x:c r="Y32" s="11" t="d">
        <x:v>2026-10-17T12:00:00.000Z</x:v>
      </x:c>
      <x:c r="Z32" s="3" t="str">
        <x:v>Julian Garnier; sponsor-backed independent project</x:v>
      </x:c>
      <x:c r="AA32" s="3" t="str">
        <x:v>https://github.com/juliangarnier/anime/blob/master/LICENSE.md</x:v>
      </x:c>
      <x:c r="AB32" s="3" t="str">
        <x:v>https://api.github.com/repos/juliangarnier/anime/releases?per_page=2; https://api.github.com/repos/juliangarnier/anime/commits?per_page=1; https://github.com/juliangarnier/anime/releases/tag/v4.5.0; https://github.com/juliangarnier/anime/commit/01b81be1df6843ccfe0a71c0699a746bf740dd77</x:v>
      </x:c>
      <x:c r="AC32" s="3" t="str">
        <x:v>https://animejs.com/; https://animejs.com/documentation/getting-started/using-with-react; https://animejs.com/documentation/events/onscroll/; https://github.com/juliangarnier/anime/releases/tag/v4.5.0; https://github.com/juliangarnier/anime/blob/master/LICENSE.md</x:v>
      </x:c>
      <x:c r="AD32" s="3" t="str">
        <x:v>Editorial assessment of linked official output/docs; interaction and frame rate not benchmarked.</x:v>
      </x:c>
      <x:c r="AE32" s="3" t="str">
        <x:v>Use instead of assuming GSAP is permissively licensed; browser-native scroll effects remain a valid zero-library option.</x:v>
      </x:c>
      <x:c r="AF32" s="11" t="d">
        <x:v>2026-10-17T12:00:00.000Z</x:v>
      </x:c>
      <x:c r="AG32" s="3" t="str">
        <x:v>DOM motion</x:v>
      </x:c>
      <x:c r="AH32" s="22" t="n">
        <x:v>85</x:v>
      </x:c>
      <x:c r="AI32" s="23" t="n">
        <x:v>5</x:v>
      </x:c>
      <x:c r="AJ32" s="23" t="n">
        <x:v>5</x:v>
      </x:c>
      <x:c r="AK32" s="23" t="n">
        <x:v>3</x:v>
      </x:c>
      <x:c r="AL32" s="23" t="n">
        <x:v>4</x:v>
      </x:c>
      <x:c r="AM32" s="23" t="n">
        <x:v>4</x:v>
      </x:c>
      <x:c r="AN32" s="23" t="n">
        <x:v>5</x:v>
      </x:c>
      <x:c r="AO32" s="23" t="n">
        <x:v>4</x:v>
      </x:c>
      <x:c r="AP32" s="23" t="n">
        <x:v>3</x:v>
      </x:c>
      <x:c r="AQ32" s="3" t="str">
        <x:v>medium</x:v>
      </x:c>
      <x:c r="AR32" s="3" t="str">
        <x:v>Prefer for precise JavaScript sequencing, timelines and non-React-specific motion composition.</x:v>
      </x:c>
      <x:c r="AS32" s="3" t="str">
        <x:v>For React layout/state transitions Motion is usually simpler; scope animation and clean it up.</x:v>
      </x:c>
      <x:c r="AT32" s="3" t="str">
        <x:v>Motion</x:v>
      </x:c>
      <x:c r="AU32" s="3" t="str">
        <x:v>https://animejs.com/documentation/</x:v>
      </x:c>
      <x:c r="AV32" s="3" t="str">
        <x:v>Integration documentation; this link is guidance, not an additional live demonstration.</x:v>
      </x:c>
      <x:c r="AW32" s="3" t="str">
        <x:v>documented</x:v>
      </x:c>
      <x:c r="AX32" s="3" t="str">
        <x:v>qualified_named_core_scope</x:v>
      </x:c>
    </x:row>
    <x:row r="33" ht="60" hidden="0" customHeight="1">
      <x:c r="A33" s="8" t="str">
        <x:v>automerge</x:v>
      </x:c>
      <x:c r="B33" s="8" t="str">
        <x:v>Automerge</x:v>
      </x:c>
      <x:c r="C33" s="8" t="str">
        <x:v>situational</x:v>
      </x:c>
      <x:c r="D33" s="8" t="str">
        <x:v>Canvas and collaboration</x:v>
      </x:c>
      <x:c r="E33" s="8" t="str">
        <x:v>D3; D5</x:v>
      </x:c>
      <x:c r="F33" s="8" t="str">
        <x:v>multiplayer_whiteboards</x:v>
      </x:c>
      <x:c r="G33" s="8" t="str">
        <x:v>Offline-first shared JSON and rich-text documents with mergeable change history.</x:v>
      </x:c>
      <x:c r="H33" s="8" t="str">
        <x:v>MIT</x:v>
      </x:c>
      <x:c r="I33" s="8" t="str">
        <x:v>permissive</x:v>
      </x:c>
      <x:c r="J33" s="8" t="str">
        <x:v>https://github.com/automerge/automerge</x:v>
      </x:c>
      <x:c r="K33" s="8" t="str">
        <x:v>https://automerge.org/docs/</x:v>
      </x:c>
      <x:c r="L33" s="8" t="str">
        <x:v>Good: @automerge/react offers RepoContext/useDocument. Initialize browser storage/network adapters in client components; rich-text editor bindings are separate packages.</x:v>
      </x:c>
      <x:c r="M33" s="8" t="str">
        <x:v>Rust CRDT core; JavaScript/TypeScript via WebAssembly; optional Automerge Repo and React integration.</x:v>
      </x:c>
      <x:c r="N33" s="10" t="n">
        <x:v>3</x:v>
      </x:c>
      <x:c r="O33" s="8" t="str">
        <x:v>https://automerge.org/</x:v>
      </x:c>
      <x:c r="P33" s="8" t="str">
        <x:v>Headless synchronization infrastructure: 3/5 denotes the official multiplayer task-list demonstration, not an intrinsic visual skin. No visual polish or FPS guarantee for a whiteboard.</x:v>
      </x:c>
      <x:c r="Q33" s="8" t="str">
        <x:v>Compressed history in memory since3.0; maintainer reports major memory reductions. Sep2026 release fixes large list insertion stack overflow and a large-change performance regression. No independent whiteboard-scale benchmark performed.</x:v>
      </x:c>
      <x:c r="R33" s="8" t="str">
        <x:v>Not a canvas renderer, rich-text editor or turnkey auth service. Retains history, so document growth and deletion/privacy semantics require planning. Apply fine-grained edits; replacing entire arrays/strings undermines merging. Keep transient cursors out of persistent history.</x:v>
      </x:c>
      <x:c r="S33" s="12" t="d">
        <x:v>2026-09-16T12:00:00.000Z</x:v>
      </x:c>
      <x:c r="T33" s="8" t="str">
        <x:v>js/automerge-3.5.0</x:v>
      </x:c>
      <x:c r="U33" s="12" t="d">
        <x:v>2026-10-16T12:00:00.000Z</x:v>
      </x:c>
      <x:c r="V33" s="8" t="str">
        <x:v>verified_active_within_6_months</x:v>
      </x:c>
      <x:c r="W33" s="8" t="str">
        <x:v>pass</x:v>
      </x:c>
      <x:c r="X33" s="10" t="n">
        <x:v>6700</x:v>
      </x:c>
      <x:c r="Y33" s="12" t="d">
        <x:v>2026-10-17T12:00:00.000Z</x:v>
      </x:c>
      <x:c r="Z33" s="8" t="str">
        <x:v>Independent Automerge team; baseline engineering support from Ink &amp; Switch; sponsors and research funding.</x:v>
      </x:c>
      <x:c r="AA33" s="8" t="str">
        <x:v>https://github.com/automerge/automerge/blob/main/LICENSE</x:v>
      </x:c>
      <x:c r="AB33" s="8" t="str">
        <x:v>https://github.com/automerge/automerge/releases/tag/js/automerge-3.5.0; https://github.com/automerge/automerge/commit/f4b14f0f05c6d39cbf648788a1bed108947792e4; https://api.github.com/repos/automerge/automerge/releases?per_page=3; https://api.github.com/repos/automerge/automerge/commits?per_page=1</x:v>
      </x:c>
      <x:c r="AC33" s="8" t="str">
        <x:v>https://automerge.org/; https://automerge.org/docs/tutorial/react/; https://automerge.org/docs/reference/repositories/; https://automerge.org/blog/automerge-3/; https://github.com/automerge/automerge/blob/main/LICENSE; https://github.com/automerge/automerge/releases/tag/js/automerge-3.5.0; https://automerge.org/docs/reference/repositories/ephemeral/</x:v>
      </x:c>
      <x:c r="AD33" s="8" t="str">
        <x:v>Editorial assessment of linked official output/docs; interaction and frame rate not benchmarked.</x:v>
      </x:c>
      <x:c r="AE33" s="8" t="str">
        <x:v>Earns place alongside Yjs when offline branching/history and JSON data modeling matter. ProseMirror/CodeMirror integrations exist, but their package licences and versions must be checked separately.</x:v>
      </x:c>
      <x:c r="AF33" s="12" t="d">
        <x:v>2026-10-17T12:00:00.000Z</x:v>
      </x:c>
      <x:c r="AG33" s="3" t="str">
        <x:v>Collaboration sync</x:v>
      </x:c>
      <x:c r="AH33" s="22" t="n">
        <x:v>84.6</x:v>
      </x:c>
      <x:c r="AI33" s="23"/>
      <x:c r="AJ33" s="23" t="n">
        <x:v>5</x:v>
      </x:c>
      <x:c r="AK33" s="23"/>
      <x:c r="AL33" s="23" t="n">
        <x:v>4</x:v>
      </x:c>
      <x:c r="AM33" s="23" t="n">
        <x:v>4</x:v>
      </x:c>
      <x:c r="AN33" s="23" t="n">
        <x:v>5</x:v>
      </x:c>
      <x:c r="AO33" s="23" t="n">
        <x:v>4</x:v>
      </x:c>
      <x:c r="AP33" s="23" t="n">
        <x:v>2</x:v>
      </x:c>
      <x:c r="AQ33" s="3" t="str">
        <x:v>high</x:v>
      </x:c>
      <x:c r="AR33" s="3" t="str">
        <x:v>Prefer when local-first JSON documents, retained history and offline merge semantics are central.</x:v>
      </x:c>
      <x:c r="AS33" s="3" t="str">
        <x:v>Do not combine CRDT engines casually or assume an Excalidraw drop-in integration.</x:v>
      </x:c>
      <x:c r="AT33" s="3" t="str">
        <x:v>Yjs; Loro</x:v>
      </x:c>
      <x:c r="AU33" s="3" t="str">
        <x:v>https://automerge.org/docs/</x:v>
      </x:c>
      <x:c r="AV33" s="3" t="str">
        <x:v>Integration documentation; this link is guidance, not an additional live demonstration.</x:v>
      </x:c>
      <x:c r="AW33" s="3" t="str">
        <x:v>documented</x:v>
      </x:c>
      <x:c r="AX33" s="3" t="str">
        <x:v>qualified_named_core_scope</x:v>
      </x:c>
    </x:row>
    <x:row r="34" ht="60" hidden="0" customHeight="1">
      <x:c r="A34" s="3" t="str">
        <x:v>copilotkit</x:v>
      </x:c>
      <x:c r="B34" s="3" t="str">
        <x:v>CopilotKit (MIT SDKs and TypeScript runtime)</x:v>
      </x:c>
      <x:c r="C34" s="3" t="str">
        <x:v>situational</x:v>
      </x:c>
      <x:c r="D34" s="3" t="str">
        <x:v>AI interface patterns</x:v>
      </x:c>
      <x:c r="E34" s="3" t="str">
        <x:v>E1; E2; E3; E5</x:v>
      </x:c>
      <x:c r="F34" s="3" t="str">
        <x:v>ai_agents</x:v>
      </x:c>
      <x:c r="G34" s="3" t="str">
        <x:v>Connect an existing agent to application state, interactive tool cards and human checkpoints.</x:v>
      </x:c>
      <x:c r="H34" s="3" t="str">
        <x:v>MIT</x:v>
      </x:c>
      <x:c r="I34" s="3" t="str">
        <x:v>permissive</x:v>
      </x:c>
      <x:c r="J34" s="3" t="str">
        <x:v>https://github.com/CopilotKit/CopilotKit</x:v>
      </x:c>
      <x:c r="K34" s="3" t="str">
        <x:v>https://docs.copilotkit.ai/</x:v>
      </x:c>
      <x:c r="L34" s="3" t="str">
        <x:v>Excellent: prebuilt/headless React chat and Next.js server runtime; select framework-specific interrupt support.</x:v>
      </x:c>
      <x:c r="M34" s="3" t="str">
        <x:v>TypeScript; React-first SDK; AG-UI; adapters for multiple agent frameworks</x:v>
      </x:c>
      <x:c r="N34" s="9" t="n">
        <x:v>4</x:v>
      </x:c>
      <x:c r="O34" s="3" t="str">
        <x:v>https://docs.copilotkit.ai/prebuilt-components</x:v>
      </x:c>
      <x:c r="P34" s="3" t="str">
        <x:v>Official SDK documentation and prebuilt chat patterns; source-restricted Showcase is excluded from implementation sources.</x:v>
      </x:c>
      <x:c r="Q34" s="3" t="str">
        <x:v>Streams tool/state events; coalescing transcript refreshes appears in Oct15 release. Cap event volume and persisted history; no benchmark verified.</x:v>
      </x:c>
      <x:c r="R34" s="3" t="str">
        <x:v>MIT covers SDK/runtime. Showcase and Intelligence have separate terms; exclude showcase/ code. Built-in Agent lacks graph-enforced interrupts; use supported backend. Persistence/replay service features may require Intelligence.</x:v>
      </x:c>
      <x:c r="S34" s="11" t="d">
        <x:v>2026-10-15T12:00:00.000Z</x:v>
      </x:c>
      <x:c r="T34" s="3" t="str">
        <x:v>v1.79.1</x:v>
      </x:c>
      <x:c r="U34" s="11" t="d">
        <x:v>2026-10-17T12:00:00.000Z</x:v>
      </x:c>
      <x:c r="V34" s="3" t="str">
        <x:v>verified_active_within_6_months</x:v>
      </x:c>
      <x:c r="W34" s="3" t="str">
        <x:v>pass</x:v>
      </x:c>
      <x:c r="X34" s="9" t="n">
        <x:v>38100</x:v>
      </x:c>
      <x:c r="Y34" s="11" t="d">
        <x:v>2026-10-17T12:00:00.000Z</x:v>
      </x:c>
      <x:c r="Z34" s="3" t="str">
        <x:v>CopilotKit</x:v>
      </x:c>
      <x:c r="AA34" s="3" t="str">
        <x:v>https://github.com/CopilotKit/CopilotKit/blob/main/LICENSE</x:v>
      </x:c>
      <x:c r="AB34" s="3" t="str">
        <x:v>https://api.github.com/repos/CopilotKit/CopilotKit/releases?per_page=2; https://api.github.com/repos/CopilotKit/CopilotKit/commits?per_page=1; https://github.com/CopilotKit/CopilotKit/releases/tag/channels/v0.11.1; https://github.com/CopilotKit/CopilotKit/commit/7b446f86e823e8af4695e78f7a61e800844a9373; https://github.com/CopilotKit/CopilotKit/releases/tag/v1.79.1</x:v>
      </x:c>
      <x:c r="AC34" s="3" t="str">
        <x:v>https://docs.copilotkit.ai/prebuilt-components; https://docs.copilotkit.ai/human-in-the-loop; https://docs.copilotkit.ai/concepts/generative-ui-overview; https://docs.copilotkit.ai/concepts/oss-vs-enterprise; https://github.com/CopilotKit/CopilotKit/blob/main/LICENSE; https://github.com/CopilotKit/CopilotKit/blob/main/showcase/LICENSE</x:v>
      </x:c>
      <x:c r="AD34" s="3" t="str">
        <x:v>Editorial assessment of linked official output/docs; interaction and frame rate not benchmarked.</x:v>
      </x:c>
      <x:c r="AE34" s="3" t="str">
        <x:v>Use controlled components/catalogs for production predictability; treat embedded Showcase assets as reference-only.</x:v>
      </x:c>
      <x:c r="AF34" s="11" t="d">
        <x:v>2026-10-17T12:00:00.000Z</x:v>
      </x:c>
      <x:c r="AG34" s="3" t="str">
        <x:v>Agent UI</x:v>
      </x:c>
      <x:c r="AH34" s="22" t="n">
        <x:v>84</x:v>
      </x:c>
      <x:c r="AI34" s="23" t="n">
        <x:v>4</x:v>
      </x:c>
      <x:c r="AJ34" s="23" t="n">
        <x:v>5</x:v>
      </x:c>
      <x:c r="AK34" s="23" t="n">
        <x:v>3</x:v>
      </x:c>
      <x:c r="AL34" s="23" t="n">
        <x:v>4</x:v>
      </x:c>
      <x:c r="AM34" s="23" t="n">
        <x:v>5</x:v>
      </x:c>
      <x:c r="AN34" s="23" t="n">
        <x:v>5</x:v>
      </x:c>
      <x:c r="AO34" s="23" t="n">
        <x:v>4</x:v>
      </x:c>
      <x:c r="AP34" s="23" t="n">
        <x:v>3</x:v>
      </x:c>
      <x:c r="AQ34" s="3" t="str">
        <x:v>high</x:v>
      </x:c>
      <x:c r="AR34" s="3" t="str">
        <x:v>Choose when an assistant should operate registered app actions and share application state.</x:v>
      </x:c>
      <x:c r="AS34" s="3" t="str">
        <x:v>Core SDK MIT does not cover Showcase/Intelligence; action authorization is still server work.</x:v>
      </x:c>
      <x:c r="AT34" s="3" t="str">
        <x:v>assistant-ui; json-render</x:v>
      </x:c>
      <x:c r="AU34" s="3" t="str">
        <x:v>https://docs.copilotkit.ai/</x:v>
      </x:c>
      <x:c r="AV34" s="3" t="str">
        <x:v>Integration documentation; this link is guidance, not an additional live demonstration.</x:v>
      </x:c>
      <x:c r="AW34" s="3" t="str">
        <x:v>documented</x:v>
      </x:c>
      <x:c r="AX34" s="3" t="str">
        <x:v>qualified_named_core_scope</x:v>
      </x:c>
    </x:row>
    <x:row r="35" ht="36" hidden="0" customHeight="1">
      <x:c r="A35" s="8" t="str">
        <x:v>dockview</x:v>
      </x:c>
      <x:c r="B35" s="8" t="str">
        <x:v>Dockview (MIT core)</x:v>
      </x:c>
      <x:c r="C35" s="8" t="str">
        <x:v>situational</x:v>
      </x:c>
      <x:c r="D35" s="8" t="str">
        <x:v>Component libraries and UI kits</x:v>
      </x:c>
      <x:c r="E35" s="8" t="str">
        <x:v>B1; B3</x:v>
      </x:c>
      <x:c r="F35" s="8" t="str">
        <x:v>realtime_trading; product_configurators; video_timelines; network_graphs; ai_agents</x:v>
      </x:c>
      <x:c r="G35" s="8" t="str">
        <x:v>Dockable tab groups, floating panes, popout windows and serialisable desktop workspaces.</x:v>
      </x:c>
      <x:c r="H35" s="8" t="str">
        <x:v>MIT core and framework packages; Enterprise proprietary</x:v>
      </x:c>
      <x:c r="I35" s="8" t="str">
        <x:v>permissive</x:v>
      </x:c>
      <x:c r="J35" s="8" t="str">
        <x:v>https://github.com/dockview/dockview</x:v>
      </x:c>
      <x:c r="K35" s="8" t="str">
        <x:v>https://dockview.dev/docs/overview/introduction/</x:v>
      </x:c>
      <x:c r="L35" s="8" t="str">
        <x:v>Excellent dockview-react package; browser-only workspace in Next.</x:v>
      </x:c>
      <x:c r="M35" s="8" t="str">
        <x:v>TypeScript; React/Vue/Angular/vanilla bindings</x:v>
      </x:c>
      <x:c r="N35" s="10" t="n">
        <x:v>4</x:v>
      </x:c>
      <x:c r="O35" s="8" t="str">
        <x:v>https://dockview.dev/demo/</x:v>
      </x:c>
      <x:c r="P35" s="8" t="str">
        <x:v>Editorial: IDE-like docking demo is directly applicable to multi-panel desktop tools.</x:v>
      </x:c>
      <x:c r="Q35" s="8" t="str">
        <x:v>Zero external dependencies in core; expensive embedded charts/canvases still need resize throttling and lifecycle management.</x:v>
      </x:c>
      <x:c r="R35" s="8" t="str">
        <x:v>Mixed-licence monorepo: core/framework bindings MIT, dockview-enterprise proprietary. Validate each required workspace feature against the edition boundary.</x:v>
      </x:c>
      <x:c r="S35" s="12" t="d">
        <x:v>2026-10-16T12:00:00.000Z</x:v>
      </x:c>
      <x:c r="T35" s="8" t="str">
        <x:v>v8.6.0</x:v>
      </x:c>
      <x:c r="U35" s="12" t="d">
        <x:v>2026-10-17T12:00:00.000Z</x:v>
      </x:c>
      <x:c r="V35" s="8" t="str">
        <x:v>verified_active_within_6_months</x:v>
      </x:c>
      <x:c r="W35" s="8" t="str">
        <x:v>pass</x:v>
      </x:c>
      <x:c r="X35" s="10" t="n">
        <x:v>3500</x:v>
      </x:c>
      <x:c r="Y35" s="12" t="d">
        <x:v>2026-10-17T12:00:00.000Z</x:v>
      </x:c>
      <x:c r="Z35" s="8" t="str">
        <x:v>Dockview Ltd; creator mathuo</x:v>
      </x:c>
      <x:c r="AA35" s="8" t="str">
        <x:v>https://github.com/dockview/dockview/blob/master/LICENCE.md</x:v>
      </x:c>
      <x:c r="AB35" s="8" t="str">
        <x:v>https://github.com/dockview/dockview/releases/tag/v8.6.0; https://github.com/dockview/dockview/commit/1eb9c69a84125819c70b2dac0c224651014b75dd</x:v>
      </x:c>
      <x:c r="AC35" s="8" t="str">
        <x:v>https://api.github.com/repos/dockview/dockview; https://github.com/dockview/dockview/blob/master/LICENCE.md; https://dockview.dev/; https://dockview.dev/docs/overview/introduction/; https://dockview.dev/demo/</x:v>
      </x:c>
      <x:c r="AD35" s="8" t="str">
        <x:v>Editorial assessment of linked official output/docs; interaction and frame rate not benchmarked.</x:v>
      </x:c>
      <x:c r="AE35" s="8" t="str">
        <x:v>Stars are rounded from fresh GitHub API metadata; visual scores are editorial, not measured benchmarks.</x:v>
      </x:c>
      <x:c r="AF35" s="12" t="d">
        <x:v>2026-10-17T12:00:00.000Z</x:v>
      </x:c>
      <x:c r="AG35" s="3" t="str">
        <x:v>Workspace layout</x:v>
      </x:c>
      <x:c r="AH35" s="22" t="n">
        <x:v>82</x:v>
      </x:c>
      <x:c r="AI35" s="23" t="n">
        <x:v>4</x:v>
      </x:c>
      <x:c r="AJ35" s="23" t="n">
        <x:v>5</x:v>
      </x:c>
      <x:c r="AK35" s="23" t="n">
        <x:v>3</x:v>
      </x:c>
      <x:c r="AL35" s="23" t="n">
        <x:v>4</x:v>
      </x:c>
      <x:c r="AM35" s="23" t="n">
        <x:v>5</x:v>
      </x:c>
      <x:c r="AN35" s="23" t="n">
        <x:v>4</x:v>
      </x:c>
      <x:c r="AO35" s="23" t="n">
        <x:v>4</x:v>
      </x:c>
      <x:c r="AP35" s="23" t="n">
        <x:v>3</x:v>
      </x:c>
      <x:c r="AQ35" s="3" t="str">
        <x:v>medium</x:v>
      </x:c>
      <x:c r="AR35" s="3" t="str">
        <x:v>Choose a workbench with dockable tab groups, persisted workspace layout and editor-like panels.</x:v>
      </x:c>
      <x:c r="AS35" s="3" t="str">
        <x:v>Use split panes for a simpler two-panel screen; check Enterprise boundaries.</x:v>
      </x:c>
      <x:c r="AT35" s="3" t="str">
        <x:v>react-resizable-panels; React Grid Layout</x:v>
      </x:c>
      <x:c r="AU35" s="3" t="str">
        <x:v>https://dockview.dev/docs/overview/introduction/</x:v>
      </x:c>
      <x:c r="AV35" s="3" t="str">
        <x:v>Integration documentation; this link is guidance, not an additional live demonstration.</x:v>
      </x:c>
      <x:c r="AW35" s="3" t="str">
        <x:v>documented</x:v>
      </x:c>
      <x:c r="AX35" s="3" t="str">
        <x:v>qualified_named_core_scope</x:v>
      </x:c>
    </x:row>
    <x:row r="36" ht="36" hidden="0" customHeight="1">
      <x:c r="A36" s="3" t="str">
        <x:v>driver_js</x:v>
      </x:c>
      <x:c r="B36" s="3" t="str">
        <x:v>Driver.js</x:v>
      </x:c>
      <x:c r="C36" s="3" t="str">
        <x:v>situational</x:v>
      </x:c>
      <x:c r="D36" s="3" t="str">
        <x:v>Component libraries and UI kits</x:v>
      </x:c>
      <x:c r="E36" s="3" t="str">
        <x:v>B9</x:v>
      </x:c>
      <x:c r="F36" s="3" t="str">
        <x:v>kpi_dashboards; product_configurators; multiplayer_whiteboards; video_timelines; ai_agents</x:v>
      </x:c>
      <x:c r="G36" s="3" t="str">
        <x:v>Lightweight guided focus, interactive product tours and onboarding checklists.</x:v>
      </x:c>
      <x:c r="H36" s="3" t="str">
        <x:v>MIT</x:v>
      </x:c>
      <x:c r="I36" s="3" t="str">
        <x:v>permissive</x:v>
      </x:c>
      <x:c r="J36" s="3" t="str">
        <x:v>https://github.com/nilbuild/driver.js</x:v>
      </x:c>
      <x:c r="K36" s="3" t="str">
        <x:v>https://driverjs.com/docs/installation</x:v>
      </x:c>
      <x:c r="L36" s="3" t="str">
        <x:v>Good; invoke after React hydration and coordinate steps with route/component lifecycle.</x:v>
      </x:c>
      <x:c r="M36" s="3" t="str">
        <x:v>Framework-agnostic JavaScript/TypeScript</x:v>
      </x:c>
      <x:c r="N36" s="9" t="n">
        <x:v>4</x:v>
      </x:c>
      <x:c r="O36" s="3" t="str">
        <x:v>https://driverjs.com/</x:v>
      </x:c>
      <x:c r="P36" s="3" t="str">
        <x:v>Editorial: guided highlight/tour demo gives a clear, restrained first-run pattern.</x:v>
      </x:c>
      <x:c r="Q36" s="3" t="str">
        <x:v>Dependency-free focused overlay; avoid recalculating tour positions over continuously moving content.</x:v>
      </x:c>
      <x:c r="R36" s="3" t="str">
        <x:v>Tours do not replace progressive onboarding or saved setup state. Test focus, Escape, scroll containers and skippability in the actual app.</x:v>
      </x:c>
      <x:c r="S36" s="11" t="d">
        <x:v>2026-10-15T12:00:00.000Z</x:v>
      </x:c>
      <x:c r="T36" s="3" t="str">
        <x:v>1.10.1</x:v>
      </x:c>
      <x:c r="U36" s="11" t="d">
        <x:v>2026-10-15T12:00:00.000Z</x:v>
      </x:c>
      <x:c r="V36" s="3" t="str">
        <x:v>verified_active_within_6_months</x:v>
      </x:c>
      <x:c r="W36" s="3" t="str">
        <x:v>pass</x:v>
      </x:c>
      <x:c r="X36" s="9" t="n">
        <x:v>26900</x:v>
      </x:c>
      <x:c r="Y36" s="11" t="d">
        <x:v>2026-10-17T12:00:00.000Z</x:v>
      </x:c>
      <x:c r="Z36" s="3" t="str">
        <x:v>Nilbuild / creator Kamran Ahmed; community</x:v>
      </x:c>
      <x:c r="AA36" s="3" t="str">
        <x:v>https://github.com/nilbuild/driver.js/blob/master/license</x:v>
      </x:c>
      <x:c r="AB36" s="3" t="str">
        <x:v>https://github.com/nilbuild/driver.js/releases/tag/1.10.1; https://github.com/nilbuild/driver.js/commit/ca44ea064a8a57ab4acb197e57c6f514d2df4da1</x:v>
      </x:c>
      <x:c r="AC36" s="3" t="str">
        <x:v>https://api.github.com/repos/nilbuild/driver.js; https://github.com/nilbuild/driver.js/blob/master/license; https://driverjs.com/docs/; https://driverjs.com/; https://driverjs.com/docs/installation</x:v>
      </x:c>
      <x:c r="AD36" s="3" t="str">
        <x:v>Editorial assessment of linked official output/docs; interaction and frame rate not benchmarked.</x:v>
      </x:c>
      <x:c r="AE36" s="3" t="str">
        <x:v>Stars are rounded from fresh GitHub API metadata; visual scores are editorial, not measured benchmarks.</x:v>
      </x:c>
      <x:c r="AF36" s="11" t="d">
        <x:v>2026-10-17T12:00:00.000Z</x:v>
      </x:c>
      <x:c r="AG36" s="3" t="str">
        <x:v>Onboarding tour</x:v>
      </x:c>
      <x:c r="AH36" s="22" t="n">
        <x:v>77</x:v>
      </x:c>
      <x:c r="AI36" s="23" t="n">
        <x:v>4</x:v>
      </x:c>
      <x:c r="AJ36" s="23" t="n">
        <x:v>4</x:v>
      </x:c>
      <x:c r="AK36" s="23" t="n">
        <x:v>3</x:v>
      </x:c>
      <x:c r="AL36" s="23" t="n">
        <x:v>4</x:v>
      </x:c>
      <x:c r="AM36" s="23" t="n">
        <x:v>4</x:v>
      </x:c>
      <x:c r="AN36" s="23" t="n">
        <x:v>4</x:v>
      </x:c>
      <x:c r="AO36" s="23" t="n">
        <x:v>4</x:v>
      </x:c>
      <x:c r="AP36" s="23" t="n">
        <x:v>4</x:v>
      </x:c>
      <x:c r="AQ36" s="3" t="str">
        <x:v>medium</x:v>
      </x:c>
      <x:c r="AR36" s="3" t="str">
        <x:v>Use for a short optional contextual tour of a workflow that remains usable without the tour.</x:v>
      </x:c>
      <x:c r="AS36" s="3" t="str">
        <x:v>Avoid mandatory overlays for long onboarding; focus, scroll and portal collisions need testing.</x:v>
      </x:c>
      <x:c r="AT36" s="3" t="str"/>
      <x:c r="AU36" s="3" t="str">
        <x:v>https://driverjs.com/docs/installation</x:v>
      </x:c>
      <x:c r="AV36" s="3" t="str">
        <x:v>Integration documentation; this link is guidance, not an additional live demonstration.</x:v>
      </x:c>
      <x:c r="AW36" s="3" t="str">
        <x:v>documented</x:v>
      </x:c>
      <x:c r="AX36" s="3" t="str">
        <x:v>qualified_named_core_scope</x:v>
      </x:c>
    </x:row>
    <x:row r="37" ht="36" hidden="0" customHeight="1">
      <x:c r="A37" s="8" t="str">
        <x:v>fullcalendar</x:v>
      </x:c>
      <x:c r="B37" s="8" t="str">
        <x:v>FullCalendar Standard</x:v>
      </x:c>
      <x:c r="C37" s="8" t="str">
        <x:v>situational</x:v>
      </x:c>
      <x:c r="D37" s="8" t="str">
        <x:v>Component libraries and UI kits</x:v>
      </x:c>
      <x:c r="E37" s="8" t="str">
        <x:v>C5</x:v>
      </x:c>
      <x:c r="F37" s="8" t="str">
        <x:v>kpi_dashboards; ai_agents</x:v>
      </x:c>
      <x:c r="G37" s="8" t="str">
        <x:v>Production scheduling calendars with drag/drop and day/week/month views.</x:v>
      </x:c>
      <x:c r="H37" s="8" t="str">
        <x:v>MIT</x:v>
      </x:c>
      <x:c r="I37" s="8" t="str">
        <x:v>permissive</x:v>
      </x:c>
      <x:c r="J37" s="8" t="str">
        <x:v>https://github.com/fullcalendar/fullcalendar</x:v>
      </x:c>
      <x:c r="K37" s="8" t="str">
        <x:v>https://fullcalendar.io/docs</x:v>
      </x:c>
      <x:c r="L37" s="8" t="str">
        <x:v>Strong official React connector; client component, stable event props and timezone policy.</x:v>
      </x:c>
      <x:c r="M37" s="8" t="str">
        <x:v>TypeScript; JS core; React/Vue/Angular connectors</x:v>
      </x:c>
      <x:c r="N37" s="10" t="n">
        <x:v>4</x:v>
      </x:c>
      <x:c r="O37" s="8" t="str">
        <x:v>https://fullcalendar.io/demos</x:v>
      </x:c>
      <x:c r="P37" s="8" t="str">
        <x:v>Official standard calendar demos; editorial fit after application token theming, not a runtime stress test.</x:v>
      </x:c>
      <x:c r="Q37" s="8" t="str">
        <x:v>Limit event fetches to visible date ranges; dense overlaps and custom DOM event renderers need testing.</x:v>
      </x:c>
      <x:c r="R37" s="8" t="str">
        <x:v>MIT applies to Standard. Premium resource timeline/resource scheduling plugins use a separate paid licence; do not tag those as MIT.</x:v>
      </x:c>
      <x:c r="S37" s="12" t="d">
        <x:v>2026-10-16T12:00:00.000Z</x:v>
      </x:c>
      <x:c r="T37" s="8" t="str">
        <x:v>v7.1.3</x:v>
      </x:c>
      <x:c r="U37" s="12" t="str"/>
      <x:c r="V37" s="8" t="str">
        <x:v>pass: release inside 2026-04-17–2026-10-17</x:v>
      </x:c>
      <x:c r="W37" s="8" t="str">
        <x:v>pass</x:v>
      </x:c>
      <x:c r="X37" s="10" t="n">
        <x:v>20700</x:v>
      </x:c>
      <x:c r="Y37" s="12" t="d">
        <x:v>2026-10-17T12:00:00.000Z</x:v>
      </x:c>
      <x:c r="Z37" s="8" t="str">
        <x:v>FullCalendar LLC</x:v>
      </x:c>
      <x:c r="AA37" s="8" t="str">
        <x:v>https://github.com/fullcalendar/fullcalendar/blob/main/LICENSE.md</x:v>
      </x:c>
      <x:c r="AB37" s="8" t="str">
        <x:v>https://github.com/fullcalendar/fullcalendar/releases/tag/v7.1.3</x:v>
      </x:c>
      <x:c r="AC37" s="8" t="str">
        <x:v>https://fullcalendar.io/docs; https://fullcalendar.io/demos; https://api.github.com/repos/fullcalendar/fullcalendar; https://github.com/fullcalendar/fullcalendar/blob/main/LICENSE.md</x:v>
      </x:c>
      <x:c r="AD37" s="8" t="str">
        <x:v>Editorial assessment of linked official output/docs; interaction and frame rate not benchmarked.</x:v>
      </x:c>
      <x:c r="AE37" s="8" t="str">
        <x:v>A scheduling calendar is not a frame-accurate video timeline.</x:v>
      </x:c>
      <x:c r="AF37" s="12" t="d">
        <x:v>2026-10-17T12:00:00.000Z</x:v>
      </x:c>
      <x:c r="AG37" s="3" t="str">
        <x:v>Scheduling</x:v>
      </x:c>
      <x:c r="AH37" s="22" t="n">
        <x:v>89</x:v>
      </x:c>
      <x:c r="AI37" s="23" t="n">
        <x:v>4</x:v>
      </x:c>
      <x:c r="AJ37" s="23" t="n">
        <x:v>5</x:v>
      </x:c>
      <x:c r="AK37" s="23" t="n">
        <x:v>4</x:v>
      </x:c>
      <x:c r="AL37" s="23" t="n">
        <x:v>4</x:v>
      </x:c>
      <x:c r="AM37" s="23" t="n">
        <x:v>5</x:v>
      </x:c>
      <x:c r="AN37" s="23" t="n">
        <x:v>5</x:v>
      </x:c>
      <x:c r="AO37" s="23" t="n">
        <x:v>5</x:v>
      </x:c>
      <x:c r="AP37" s="23" t="n">
        <x:v>4</x:v>
      </x:c>
      <x:c r="AQ37" s="3" t="str">
        <x:v>medium</x:v>
      </x:c>
      <x:c r="AR37" s="3" t="str">
        <x:v>Choose a mature scheduling/calendar surface with established React integration and timezone options.</x:v>
      </x:c>
      <x:c r="AS37" s="3" t="str">
        <x:v>Check licence boundaries for resource scheduling and premium views.</x:v>
      </x:c>
      <x:c r="AT37" s="3" t="str">
        <x:v>Schedule-X core</x:v>
      </x:c>
      <x:c r="AU37" s="3" t="str">
        <x:v>https://fullcalendar.io/docs</x:v>
      </x:c>
      <x:c r="AV37" s="3" t="str">
        <x:v>Integration documentation; this link is guidance, not an additional live demonstration.</x:v>
      </x:c>
      <x:c r="AW37" s="3" t="str">
        <x:v>documented</x:v>
      </x:c>
      <x:c r="AX37" s="3" t="str">
        <x:v>qualified_named_core_scope</x:v>
      </x:c>
    </x:row>
    <x:row r="38" ht="24" hidden="0" customHeight="1">
      <x:c r="A38" s="3" t="str">
        <x:v>kepler-gl</x:v>
      </x:c>
      <x:c r="B38" s="3" t="str">
        <x:v>kepler.gl</x:v>
      </x:c>
      <x:c r="C38" s="3" t="str">
        <x:v>situational</x:v>
      </x:c>
      <x:c r="D38" s="3" t="str">
        <x:v>Maps and geospatial</x:v>
      </x:c>
      <x:c r="E38" s="3" t="str">
        <x:v>C2; C3; C6</x:v>
      </x:c>
      <x:c r="F38" s="3" t="str">
        <x:v>live_maps; kpi_dashboards</x:v>
      </x:c>
      <x:c r="G38" s="3" t="str">
        <x:v>An embeddable geospatial exploration workbench with layers, filters and time playback.</x:v>
      </x:c>
      <x:c r="H38" s="3" t="str">
        <x:v>MIT</x:v>
      </x:c>
      <x:c r="I38" s="3" t="str">
        <x:v>permissive</x:v>
      </x:c>
      <x:c r="J38" s="3" t="str">
        <x:v>https://github.com/keplergl/kepler.gl</x:v>
      </x:c>
      <x:c r="K38" s="3" t="str">
        <x:v>https://docs.kepler.gl/</x:v>
      </x:c>
      <x:c r="L38" s="3" t="str">
        <x:v>Good for embedding a full workbench; heavier integration and global styles than building a bespoke MapLibre/deck shell.</x:v>
      </x:c>
      <x:c r="M38" s="3" t="str">
        <x:v>React; Redux; deck.gl</x:v>
      </x:c>
      <x:c r="N38" s="9" t="n">
        <x:v>4</x:v>
      </x:c>
      <x:c r="O38" s="3" t="str">
        <x:v>https://kepler.gl/demo</x:v>
      </x:c>
      <x:c r="P38" s="3" t="str">
        <x:v>Official exploration application; editorial assessment, no imported large-dataset benchmark.</x:v>
      </x:c>
      <x:c r="Q38" s="3" t="str">
        <x:v>GPU layers provide dense-map capacity; importing/parsing large files and Redux/data transforms still need memory and responsiveness budgets.</x:v>
      </x:c>
      <x:c r="R38" s="3" t="str">
        <x:v>Latest published GitHub tag is alpha-named; last observed non-alpha v3.2.6 is 2026-03-16. Separate alpha activity from a production stable-version choice.</x:v>
      </x:c>
      <x:c r="S38" s="11" t="d">
        <x:v>2026-10-17T12:00:00.000Z</x:v>
      </x:c>
      <x:c r="T38" s="3" t="str">
        <x:v>v3.3.0-alpha.17</x:v>
      </x:c>
      <x:c r="U38" s="11" t="str"/>
      <x:c r="V38" s="3" t="str">
        <x:v>pass: active alpha releases; stable latest observed 2026-03-16</x:v>
      </x:c>
      <x:c r="W38" s="3" t="str">
        <x:v>pass</x:v>
      </x:c>
      <x:c r="X38" s="9" t="n">
        <x:v>12100</x:v>
      </x:c>
      <x:c r="Y38" s="11" t="d">
        <x:v>2026-10-17T12:00:00.000Z</x:v>
      </x:c>
      <x:c r="Z38" s="3" t="str">
        <x:v>Originated at Uber; vis.gl / OpenJS ecosystem and community</x:v>
      </x:c>
      <x:c r="AA38" s="3" t="str">
        <x:v>https://github.com/keplergl/kepler.gl/blob/master/LICENSE</x:v>
      </x:c>
      <x:c r="AB38" s="3" t="str">
        <x:v>https://github.com/keplergl/kepler.gl/releases/tag/v3.3.0-alpha.17</x:v>
      </x:c>
      <x:c r="AC38" s="3" t="str">
        <x:v>https://docs.kepler.gl/; https://kepler.gl/demo; https://api.github.com/repos/keplergl/kepler.gl; https://github.com/keplergl/kepler.gl/blob/master/LICENSE</x:v>
      </x:c>
      <x:c r="AD38" s="3" t="str">
        <x:v>Editorial assessment of linked official output/docs; interaction and frame rate not benchmarked.</x:v>
      </x:c>
      <x:c r="AE38" s="3" t="str">
        <x:v>Current activity passes; do not silently ship alpha. Keep as analytics reference rather than default generated customer-map UI.</x:v>
      </x:c>
      <x:c r="AF38" s="11" t="d">
        <x:v>2026-10-17T12:00:00.000Z</x:v>
      </x:c>
      <x:c r="AG38" s="3" t="str">
        <x:v>Geospatial explorer</x:v>
      </x:c>
      <x:c r="AH38" s="22" t="n">
        <x:v>76</x:v>
      </x:c>
      <x:c r="AI38" s="23" t="n">
        <x:v>4</x:v>
      </x:c>
      <x:c r="AJ38" s="23" t="n">
        <x:v>5</x:v>
      </x:c>
      <x:c r="AK38" s="23" t="n">
        <x:v>2</x:v>
      </x:c>
      <x:c r="AL38" s="23" t="n">
        <x:v>4</x:v>
      </x:c>
      <x:c r="AM38" s="23" t="n">
        <x:v>4</x:v>
      </x:c>
      <x:c r="AN38" s="23" t="n">
        <x:v>4</x:v>
      </x:c>
      <x:c r="AO38" s="23" t="n">
        <x:v>4</x:v>
      </x:c>
      <x:c r="AP38" s="23" t="n">
        <x:v>3</x:v>
      </x:c>
      <x:c r="AQ38" s="3" t="str">
        <x:v>high</x:v>
      </x:c>
      <x:c r="AR38" s="3" t="str">
        <x:v>Choose an exploratory map application/panel when layer authoring and rapid data exploration matter.</x:v>
      </x:c>
      <x:c r="AS38" s="3" t="str">
        <x:v>Prefer MapLibre plus deck.gl when you need a smaller bespoke product experience.</x:v>
      </x:c>
      <x:c r="AT38" s="3" t="str">
        <x:v>MapLibre GL JS; deck.gl</x:v>
      </x:c>
      <x:c r="AU38" s="3" t="str">
        <x:v>https://docs.kepler.gl/</x:v>
      </x:c>
      <x:c r="AV38" s="3" t="str">
        <x:v>Integration documentation; this link is guidance, not an additional live demonstration.</x:v>
      </x:c>
      <x:c r="AW38" s="3" t="str">
        <x:v>documented</x:v>
      </x:c>
      <x:c r="AX38" s="3" t="str">
        <x:v>qualified_named_core_scope</x:v>
      </x:c>
    </x:row>
    <x:row r="39" ht="36" hidden="0" customHeight="1">
      <x:c r="A39" s="8" t="str">
        <x:v>konva</x:v>
      </x:c>
      <x:c r="B39" s="8" t="str">
        <x:v>Konva</x:v>
      </x:c>
      <x:c r="C39" s="8" t="str">
        <x:v>situational</x:v>
      </x:c>
      <x:c r="D39" s="8" t="str">
        <x:v>Canvas and collaboration</x:v>
      </x:c>
      <x:c r="E39" s="8" t="str">
        <x:v>C5; D2; D4; D6</x:v>
      </x:c>
      <x:c r="F39" s="8" t="str">
        <x:v>multiplayer_whiteboards; video_timelines; product_configurators</x:v>
      </x:c>
      <x:c r="G39" s="8" t="str">
        <x:v>Custom 2D design tools, product customizers and visual track editors.</x:v>
      </x:c>
      <x:c r="H39" s="8" t="str">
        <x:v>MIT</x:v>
      </x:c>
      <x:c r="I39" s="8" t="str">
        <x:v>permissive</x:v>
      </x:c>
      <x:c r="J39" s="8" t="str">
        <x:v>https://github.com/konvajs/konva</x:v>
      </x:c>
      <x:c r="K39" s="8" t="str">
        <x:v>https://konvajs.org/docs/</x:v>
      </x:c>
      <x:c r="L39" s="8" t="str">
        <x:v>Excellent React bindings; keep large scene state granular and use client rendering.</x:v>
      </x:c>
      <x:c r="M39" s="8" t="str">
        <x:v>TypeScript; Canvas 2D; official react-konva bindings</x:v>
      </x:c>
      <x:c r="N39" s="10" t="n">
        <x:v>4</x:v>
      </x:c>
      <x:c r="O39" s="8" t="str">
        <x:v>https://konvajs.org/docs/sandbox/Canvas_Editor.html</x:v>
      </x:c>
      <x:c r="P39" s="8" t="str">
        <x:v>Official design-editor example: selection handles, transform controls and content canvas; editorial potential, no frame-time benchmark.</x:v>
      </x:c>
      <x:c r="Q39" s="8" t="str">
        <x:v>Use layer separation, caching, event-listening control and viewport culling. Many layers/high DPR and shape hit testing increase memory/work.</x:v>
      </x:c>
      <x:c r="R39" s="8" t="str">
        <x:v>A scene-graph primitive: no built-in CRDT, timeline semantics, media export, accessibility tree or business configurator rules.</x:v>
      </x:c>
      <x:c r="S39" s="12" t="d">
        <x:v>2026-10-15T12:00:00.000Z</x:v>
      </x:c>
      <x:c r="T39" s="8" t="str">
        <x:v>10.9.0</x:v>
      </x:c>
      <x:c r="U39" s="12" t="str"/>
      <x:c r="V39" s="8" t="str">
        <x:v>pass: release inside 2026-04-17–2026-10-17</x:v>
      </x:c>
      <x:c r="W39" s="8" t="str">
        <x:v>pass</x:v>
      </x:c>
      <x:c r="X39" s="10" t="n">
        <x:v>14900</x:v>
      </x:c>
      <x:c r="Y39" s="12" t="d">
        <x:v>2026-10-17T12:00:00.000Z</x:v>
      </x:c>
      <x:c r="Z39" s="8" t="str">
        <x:v>Anton Lavrenov; community</x:v>
      </x:c>
      <x:c r="AA39" s="8" t="str">
        <x:v>https://github.com/konvajs/konva/blob/master/LICENSE</x:v>
      </x:c>
      <x:c r="AB39" s="8" t="str">
        <x:v>https://github.com/konvajs/konva/releases/tag/10.9.0</x:v>
      </x:c>
      <x:c r="AC39" s="8" t="str">
        <x:v>https://konvajs.org/docs/; https://konvajs.org/docs/sandbox/Canvas_Editor.html; https://api.github.com/repos/konvajs/konva; https://github.com/konvajs/konva/blob/master/LICENSE</x:v>
      </x:c>
      <x:c r="AD39" s="8" t="str">
        <x:v>Editorial assessment of linked official output/docs; interaction and frame rate not benchmarked.</x:v>
      </x:c>
      <x:c r="AE39" s="8" t="str">
        <x:v>MIT verified from licence text despite GitHub API NOASSERTION. Commercial Polotno SDK is separate from this permissive primitive.</x:v>
      </x:c>
      <x:c r="AF39" s="12" t="d">
        <x:v>2026-10-17T12:00:00.000Z</x:v>
      </x:c>
      <x:c r="AG39" s="3" t="str">
        <x:v>2D canvas engine</x:v>
      </x:c>
      <x:c r="AH39" s="22" t="n">
        <x:v>78</x:v>
      </x:c>
      <x:c r="AI39" s="23" t="n">
        <x:v>4</x:v>
      </x:c>
      <x:c r="AJ39" s="23" t="n">
        <x:v>5</x:v>
      </x:c>
      <x:c r="AK39" s="23" t="n">
        <x:v>1</x:v>
      </x:c>
      <x:c r="AL39" s="23" t="n">
        <x:v>4</x:v>
      </x:c>
      <x:c r="AM39" s="23" t="n">
        <x:v>5</x:v>
      </x:c>
      <x:c r="AN39" s="23" t="n">
        <x:v>5</x:v>
      </x:c>
      <x:c r="AO39" s="23" t="n">
        <x:v>4</x:v>
      </x:c>
      <x:c r="AP39" s="23" t="n">
        <x:v>3</x:v>
      </x:c>
      <x:c r="AQ39" s="3" t="str">
        <x:v>high</x:v>
      </x:c>
      <x:c r="AR39" s="3" t="str">
        <x:v>Choose a retained 2D scene graph for custom editors, selection handles and object transforms.</x:v>
      </x:c>
      <x:c r="AS39" s="3" t="str">
        <x:v>Prefer PixiJS for GPU-heavy visual effects; provide separate DOM semantics.</x:v>
      </x:c>
      <x:c r="AT39" s="3" t="str">
        <x:v>PixiJS; Excalidraw</x:v>
      </x:c>
      <x:c r="AU39" s="3" t="str">
        <x:v>https://konvajs.org/docs/</x:v>
      </x:c>
      <x:c r="AV39" s="3" t="str">
        <x:v>Integration documentation; this link is guidance, not an additional live demonstration.</x:v>
      </x:c>
      <x:c r="AW39" s="3" t="str">
        <x:v>documented</x:v>
      </x:c>
      <x:c r="AX39" s="3" t="str">
        <x:v>qualified_named_core_scope</x:v>
      </x:c>
    </x:row>
    <x:row r="40" ht="60" hidden="0" customHeight="1">
      <x:c r="A40" s="3" t="str">
        <x:v>lenis</x:v>
      </x:c>
      <x:c r="B40" s="3" t="str">
        <x:v>Lenis</x:v>
      </x:c>
      <x:c r="C40" s="3" t="str">
        <x:v>situational</x:v>
      </x:c>
      <x:c r="D40" s="3" t="str">
        <x:v>Motion and animation</x:v>
      </x:c>
      <x:c r="E40" s="3" t="str">
        <x:v>A5; F2</x:v>
      </x:c>
      <x:c r="F40" s="3" t="str">
        <x:v>landing_pages</x:v>
      </x:c>
      <x:c r="G40" s="3" t="str">
        <x:v>Synchronize scroll-driven DOM and WebGL scenes with a controlled scroll signal.</x:v>
      </x:c>
      <x:c r="H40" s="3" t="str">
        <x:v>MIT</x:v>
      </x:c>
      <x:c r="I40" s="3" t="str">
        <x:v>permissive</x:v>
      </x:c>
      <x:c r="J40" s="3" t="str">
        <x:v>https://github.com/darkroomengineering/lenis</x:v>
      </x:c>
      <x:c r="K40" s="3" t="str">
        <x:v>https://github.com/darkroomengineering/lenis#readme</x:v>
      </x:c>
      <x:c r="L40" s="3" t="str">
        <x:v>Good: lenis/react adapter; scope to marketing surfaces and clean up animation loops on route changes.</x:v>
      </x:c>
      <x:c r="M40" s="3" t="str">
        <x:v>TypeScript/JavaScript; framework-agnostic; React/Vue adapters</x:v>
      </x:c>
      <x:c r="N40" s="9" t="n">
        <x:v>4</x:v>
      </x:c>
      <x:c r="O40" s="3" t="str">
        <x:v>https://lenis.dev/</x:v>
      </x:c>
      <x:c r="P40" s="3" t="str">
        <x:v>Rendered official home inspected after loading: large expressive pink typography, black canvas, clear scroll prompt and compact navigation. Editorial4/5, with no desktop-app usability or FPS test.</x:v>
      </x:c>
      <x:c r="Q40" s="3" t="str">
        <x:v>Small dependency-free core; v1.3.26 respects reduced motion by default. Single shared frame loop avoids duplicate scheduling; no measured throughput claim.</x:v>
      </x:c>
      <x:c r="R40" s="3" t="str">
        <x:v>Changes scroll feel. Documented Safari caps, iframe wheel and nested-scroll limitations; CSS scroll-snap unsupported (use Lenis snap). Avoid defaulting dense app panels to smoothing.</x:v>
      </x:c>
      <x:c r="S40" s="11" t="d">
        <x:v>2026-10-15T12:00:00.000Z</x:v>
      </x:c>
      <x:c r="T40" s="3" t="str">
        <x:v>v1.3.27</x:v>
      </x:c>
      <x:c r="U40" s="11" t="d">
        <x:v>2026-10-15T12:00:00.000Z</x:v>
      </x:c>
      <x:c r="V40" s="3" t="str">
        <x:v>verified_active_within_6_months</x:v>
      </x:c>
      <x:c r="W40" s="3" t="str">
        <x:v>pass</x:v>
      </x:c>
      <x:c r="X40" s="9" t="n">
        <x:v>16600</x:v>
      </x:c>
      <x:c r="Y40" s="11" t="d">
        <x:v>2026-10-17T12:00:00.000Z</x:v>
      </x:c>
      <x:c r="Z40" s="3" t="str">
        <x:v>darkroom.engineering</x:v>
      </x:c>
      <x:c r="AA40" s="3" t="str">
        <x:v>https://github.com/darkroomengineering/lenis/blob/main/LICENSE</x:v>
      </x:c>
      <x:c r="AB40" s="3" t="str">
        <x:v>https://api.github.com/repos/darkroomengineering/lenis/releases?per_page=2; https://api.github.com/repos/darkroomengineering/lenis/commits?per_page=1; https://github.com/darkroomengineering/lenis/releases/tag/v1.3.27; https://github.com/darkroomengineering/lenis/commit/e01eefb1f55cd08bc051521d74f5f8182b71ee9d</x:v>
      </x:c>
      <x:c r="AC40" s="3" t="str">
        <x:v>https://lenis.dev/; https://github.com/darkroomengineering/lenis#limitations; https://github.com/darkroomengineering/lenis/releases/tag/v1.3.26; https://github.com/darkroomengineering/lenis/releases/tag/v1.3.27; https://github.com/darkroomengineering/lenis/blob/main/LICENSE</x:v>
      </x:c>
      <x:c r="AD40" s="3" t="str">
        <x:v>Editorial assessment of linked official output/docs; interaction and frame rate not benchmarked.</x:v>
      </x:c>
      <x:c r="AE40" s="3" t="str">
        <x:v>Starter caution is justified, but current versions explicitly honor reduced-motion preferences.</x:v>
      </x:c>
      <x:c r="AF40" s="11" t="d">
        <x:v>2026-10-17T12:00:00.000Z</x:v>
      </x:c>
      <x:c r="AG40" s="3" t="str">
        <x:v>Scroll enhancement</x:v>
      </x:c>
      <x:c r="AH40" s="22" t="n">
        <x:v>77</x:v>
      </x:c>
      <x:c r="AI40" s="23" t="n">
        <x:v>4</x:v>
      </x:c>
      <x:c r="AJ40" s="23" t="n">
        <x:v>4</x:v>
      </x:c>
      <x:c r="AK40" s="23" t="n">
        <x:v>3</x:v>
      </x:c>
      <x:c r="AL40" s="23" t="n">
        <x:v>4</x:v>
      </x:c>
      <x:c r="AM40" s="23" t="n">
        <x:v>4</x:v>
      </x:c>
      <x:c r="AN40" s="23" t="n">
        <x:v>4</x:v>
      </x:c>
      <x:c r="AO40" s="23" t="n">
        <x:v>4</x:v>
      </x:c>
      <x:c r="AP40" s="23" t="n">
        <x:v>4</x:v>
      </x:c>
      <x:c r="AQ40" s="3" t="str">
        <x:v>medium</x:v>
      </x:c>
      <x:c r="AR40" s="3" t="str">
        <x:v>Use selectively when art-directed scroll interpolation is an explicit part of the experience.</x:v>
      </x:c>
      <x:c r="AS40" s="3" t="str">
        <x:v>Avoid changing native scrolling in dense productivity screens; test reduced motion and nested scrolling.</x:v>
      </x:c>
      <x:c r="AT40" s="3" t="str">
        <x:v>Motion; Anime.js</x:v>
      </x:c>
      <x:c r="AU40" s="3" t="str">
        <x:v>https://tympanus.net/codrops/2026/06/23/podium-building-a-website-where-running-becomes-storytelling/</x:v>
      </x:c>
      <x:c r="AV40" s="3" t="str">
        <x:v>Project thumbnail expands into the next page's media hero; scroll pace follows film storytelling.</x:v>
      </x:c>
      <x:c r="AW40" s="3" t="str">
        <x:v>documented</x:v>
      </x:c>
      <x:c r="AX40" s="3" t="str">
        <x:v>qualified_named_core_scope</x:v>
      </x:c>
    </x:row>
    <x:row r="41" ht="36" hidden="0" customHeight="1">
      <x:c r="A41" s="8" t="str">
        <x:v>magic_ui</x:v>
      </x:c>
      <x:c r="B41" s="8" t="str">
        <x:v>Magic UI (free components)</x:v>
      </x:c>
      <x:c r="C41" s="8" t="str">
        <x:v>situational</x:v>
      </x:c>
      <x:c r="D41" s="8" t="str">
        <x:v>Component libraries and UI kits</x:v>
      </x:c>
      <x:c r="E41" s="8" t="str">
        <x:v>A4; A5; A6; F1; F2</x:v>
      </x:c>
      <x:c r="F41" s="8" t="str">
        <x:v>landing_pages</x:v>
      </x:c>
      <x:c r="G41" s="8" t="str">
        <x:v>Polished landing sections and small animated accents such as bento cards, beams and hero dialogs.</x:v>
      </x:c>
      <x:c r="H41" s="8" t="str">
        <x:v>MIT</x:v>
      </x:c>
      <x:c r="I41" s="8" t="str">
        <x:v>permissive</x:v>
      </x:c>
      <x:c r="J41" s="8" t="str">
        <x:v>https://github.com/magicuidesign/magicui</x:v>
      </x:c>
      <x:c r="K41" s="8" t="str">
        <x:v>https://magicui.design/docs</x:v>
      </x:c>
      <x:c r="L41" s="8" t="str">
        <x:v>Excellent: copy individual React components into a Next.js/shadcn project; animations need client boundaries.</x:v>
      </x:c>
      <x:c r="M41" s="8" t="str">
        <x:v>React; TypeScript; Tailwind CSS; Motion; shadcn registry</x:v>
      </x:c>
      <x:c r="N41" s="10" t="n">
        <x:v>4</x:v>
      </x:c>
      <x:c r="O41" s="8" t="str">
        <x:v>https://magicui.design/docs/components/bento-grid</x:v>
      </x:c>
      <x:c r="P41" s="8" t="str">
        <x:v>Rendered official Bento Grid inspected: disciplined spacing, soft elevation and layered preview cards; root also inspected live home. Free component rating only.</x:v>
      </x:c>
      <x:c r="Q41" s="8" t="str">
        <x:v>Install selected components; animate opacity/transforms and stop hidden loops. Particle/blur/WebGL effects need GPU/battery profiling; no benchmark verified.</x:v>
      </x:c>
      <x:c r="R41" s="8" t="str">
        <x:v>Pro templates/blocks are paid and excluded. Ambient motion can distract in dense desktop apps; audit focus, contrast and reduced-motion behavior per component.</x:v>
      </x:c>
      <x:c r="S41" s="12" t="str"/>
      <x:c r="T41" s="8" t="str"/>
      <x:c r="U41" s="12" t="d">
        <x:v>2026-10-17T12:00:00.000Z</x:v>
      </x:c>
      <x:c r="V41" s="8" t="str">
        <x:v>verified_active_within_6_months</x:v>
      </x:c>
      <x:c r="W41" s="8" t="str">
        <x:v>pass</x:v>
      </x:c>
      <x:c r="X41" s="10" t="n">
        <x:v>22700</x:v>
      </x:c>
      <x:c r="Y41" s="12" t="d">
        <x:v>2026-10-17T12:00:00.000Z</x:v>
      </x:c>
      <x:c r="Z41" s="8" t="str">
        <x:v>Magic UI / dillion</x:v>
      </x:c>
      <x:c r="AA41" s="8" t="str">
        <x:v>https://github.com/magicuidesign/magicui/blob/main/LICENSE.md</x:v>
      </x:c>
      <x:c r="AB41" s="8" t="str">
        <x:v>https://api.github.com/repos/magicuidesign/magicui/releases?per_page=2; https://api.github.com/repos/magicuidesign/magicui/commits?per_page=1; https://github.com/magicuidesign/magicui/commit/efe76fc5755eca1142dd4f74c1d6f0ace2887e3c</x:v>
      </x:c>
      <x:c r="AC41" s="8" t="str">
        <x:v>https://magicui.design/docs/components/bento-grid; https://magicui.design/docs/components/hero-video-dialog; https://github.com/magicuidesign/magicui/blob/main/LICENSE.md</x:v>
      </x:c>
      <x:c r="AD41" s="8" t="str">
        <x:v>Official homepage/demo also visually inspected live on 2026-10-17; no interaction or frame-rate benchmark.</x:v>
      </x:c>
      <x:c r="AE41" s="8" t="str">
        <x:v>Use marketing accents sparingly; not a complete accessible application design system.</x:v>
      </x:c>
      <x:c r="AF41" s="12" t="d">
        <x:v>2026-10-17T12:00:00.000Z</x:v>
      </x:c>
      <x:c r="AG41" s="3" t="str">
        <x:v>Marketing components</x:v>
      </x:c>
      <x:c r="AH41" s="22" t="n">
        <x:v>77</x:v>
      </x:c>
      <x:c r="AI41" s="23" t="n">
        <x:v>4</x:v>
      </x:c>
      <x:c r="AJ41" s="23" t="n">
        <x:v>4</x:v>
      </x:c>
      <x:c r="AK41" s="23" t="n">
        <x:v>3</x:v>
      </x:c>
      <x:c r="AL41" s="23" t="n">
        <x:v>3</x:v>
      </x:c>
      <x:c r="AM41" s="23" t="n">
        <x:v>5</x:v>
      </x:c>
      <x:c r="AN41" s="23" t="n">
        <x:v>4</x:v>
      </x:c>
      <x:c r="AO41" s="23" t="n">
        <x:v>4</x:v>
      </x:c>
      <x:c r="AP41" s="23" t="n">
        <x:v>4</x:v>
      </x:c>
      <x:c r="AQ41" s="3" t="str">
        <x:v>medium</x:v>
      </x:c>
      <x:c r="AR41" s="3" t="str">
        <x:v>Choose free animated marketing blocks for deliberate focal moments with your product tokens.</x:v>
      </x:c>
      <x:c r="AS41" s="3" t="str">
        <x:v>Do not spread decorative effects through task-focused tables or assume Pro templates are MIT.</x:v>
      </x:c>
      <x:c r="AT41" s="3" t="str">
        <x:v>Kokonut UI (free components); shadcn/ui</x:v>
      </x:c>
      <x:c r="AU41" s="3" t="str">
        <x:v>https://magicui.design/docs</x:v>
      </x:c>
      <x:c r="AV41" s="3" t="str">
        <x:v>Integration documentation; this link is guidance, not an additional live demonstration.</x:v>
      </x:c>
      <x:c r="AW41" s="3" t="str">
        <x:v>documented</x:v>
      </x:c>
      <x:c r="AX41" s="3" t="str">
        <x:v>qualified_named_core_scope</x:v>
      </x:c>
    </x:row>
    <x:row r="42" ht="36" hidden="0" customHeight="1">
      <x:c r="A42" s="3" t="str">
        <x:v>mantine</x:v>
      </x:c>
      <x:c r="B42" s="3" t="str">
        <x:v>Mantine</x:v>
      </x:c>
      <x:c r="C42" s="3" t="str">
        <x:v>situational</x:v>
      </x:c>
      <x:c r="D42" s="3" t="str">
        <x:v>Component libraries and UI kits</x:v>
      </x:c>
      <x:c r="E42" s="3" t="str">
        <x:v>A1; A2; A3; A4; A6; A7; B1; B2; B4; B5; B7; B8; B9; B10</x:v>
      </x:c>
      <x:c r="F42" s="3" t="str">
        <x:v>simple_charts; kpi_dashboards; realtime_trading; live_maps; landing_pages; product_configurators; multiplayer_whiteboards; video_timelines; network_graphs; ai_agents</x:v>
      </x:c>
      <x:c r="G42" s="3" t="str">
        <x:v>A complete styled app toolkit with AppShell, forms, Spotlight commands, dates and notifications.</x:v>
      </x:c>
      <x:c r="H42" s="3" t="str">
        <x:v>MIT</x:v>
      </x:c>
      <x:c r="I42" s="3" t="str">
        <x:v>permissive</x:v>
      </x:c>
      <x:c r="J42" s="3" t="str">
        <x:v>https://github.com/mantinedev/mantine</x:v>
      </x:c>
      <x:c r="K42" s="3" t="str">
        <x:v>https://mantine.dev/</x:v>
      </x:c>
      <x:c r="L42" s="3" t="str">
        <x:v>Excellent; official Next setup, coherent provider/theme system.</x:v>
      </x:c>
      <x:c r="M42" s="3" t="str">
        <x:v>React/TypeScript; CSS modules and CSS variables</x:v>
      </x:c>
      <x:c r="N42" s="9" t="n">
        <x:v>4</x:v>
      </x:c>
      <x:c r="O42" s="3" t="str">
        <x:v>https://mantine.dev/core/app-shell/</x:v>
      </x:c>
      <x:c r="P42" s="3" t="str">
        <x:v>Editorial: configurable desktop shell plus cohesive control styles; less distinctive until themed.</x:v>
      </x:c>
      <x:c r="Q42" s="3" t="str">
        <x:v>Use selective package imports and uncontrolled forms for large forms; heavy collections need their own virtualisation.</x:v>
      </x:c>
      <x:c r="R42" s="3" t="str">
        <x:v>Choose this as a coherent system or spend effort reconciling its theme with another kit. Official docs include optional products/packages to assess separately.</x:v>
      </x:c>
      <x:c r="S42" s="11" t="d">
        <x:v>2026-10-17T12:00:00.000Z</x:v>
      </x:c>
      <x:c r="T42" s="3" t="str">
        <x:v>9.7.3</x:v>
      </x:c>
      <x:c r="U42" s="11" t="d">
        <x:v>2026-10-17T12:00:00.000Z</x:v>
      </x:c>
      <x:c r="V42" s="3" t="str">
        <x:v>verified_active_within_6_months</x:v>
      </x:c>
      <x:c r="W42" s="3" t="str">
        <x:v>pass</x:v>
      </x:c>
      <x:c r="X42" s="9" t="n">
        <x:v>31800</x:v>
      </x:c>
      <x:c r="Y42" s="11" t="d">
        <x:v>2026-10-17T12:00:00.000Z</x:v>
      </x:c>
      <x:c r="Z42" s="3" t="str">
        <x:v>Mantine maintainers and sponsors</x:v>
      </x:c>
      <x:c r="AA42" s="3" t="str">
        <x:v>https://github.com/mantinedev/mantine/blob/master/LICENSE</x:v>
      </x:c>
      <x:c r="AB42" s="3" t="str">
        <x:v>https://github.com/mantinedev/mantine/releases/tag/9.7.3; https://github.com/mantinedev/mantine/commit/2d0a040f42011e791caf0bc56b9fbdd36ce55cef</x:v>
      </x:c>
      <x:c r="AC42" s="3" t="str">
        <x:v>https://api.github.com/repos/mantinedev/mantine; https://github.com/mantinedev/mantine/blob/master/LICENSE; https://mantine.dev/; https://mantine.dev/core/app-shell/</x:v>
      </x:c>
      <x:c r="AD42" s="3" t="str">
        <x:v>Editorial assessment of linked official output/docs; interaction and frame rate not benchmarked.</x:v>
      </x:c>
      <x:c r="AE42" s="3" t="str">
        <x:v>Stars are rounded from fresh GitHub API metadata; visual scores are editorial, not measured benchmarks.</x:v>
      </x:c>
      <x:c r="AF42" s="11" t="d">
        <x:v>2026-10-17T12:00:00.000Z</x:v>
      </x:c>
      <x:c r="AG42" s="3" t="str">
        <x:v>Styled component kit</x:v>
      </x:c>
      <x:c r="AH42" s="22" t="n">
        <x:v>90</x:v>
      </x:c>
      <x:c r="AI42" s="23" t="n">
        <x:v>4</x:v>
      </x:c>
      <x:c r="AJ42" s="23" t="n">
        <x:v>5</x:v>
      </x:c>
      <x:c r="AK42" s="23" t="n">
        <x:v>4</x:v>
      </x:c>
      <x:c r="AL42" s="23" t="n">
        <x:v>4</x:v>
      </x:c>
      <x:c r="AM42" s="23" t="n">
        <x:v>5</x:v>
      </x:c>
      <x:c r="AN42" s="23" t="n">
        <x:v>5</x:v>
      </x:c>
      <x:c r="AO42" s="23" t="n">
        <x:v>5</x:v>
      </x:c>
      <x:c r="AP42" s="23" t="n">
        <x:v>5</x:v>
      </x:c>
      <x:c r="AQ42" s="3" t="str">
        <x:v>low</x:v>
      </x:c>
      <x:c r="AR42" s="3" t="str">
        <x:v>Choose a broad packaged React kit when speed of implementation and consistent states are priorities.</x:v>
      </x:c>
      <x:c r="AS42" s="3" t="str">
        <x:v>Choose shadcn or headless primitives when deep visual/code ownership outweighs package convenience.</x:v>
      </x:c>
      <x:c r="AT42" s="3" t="str">
        <x:v>shadcn/ui; React Aria Components</x:v>
      </x:c>
      <x:c r="AU42" s="3" t="str">
        <x:v>https://mantine.dev/</x:v>
      </x:c>
      <x:c r="AV42" s="3" t="str">
        <x:v>Integration documentation; this link is guidance, not an additional live demonstration.</x:v>
      </x:c>
      <x:c r="AW42" s="3" t="str">
        <x:v>documented</x:v>
      </x:c>
      <x:c r="AX42" s="3" t="str">
        <x:v>qualified_named_core_scope</x:v>
      </x:c>
    </x:row>
    <x:row r="43" ht="36" hidden="0" customHeight="1">
      <x:c r="A43" s="8" t="str">
        <x:v>monaco_editor</x:v>
      </x:c>
      <x:c r="B43" s="8" t="str">
        <x:v>Monaco Editor</x:v>
      </x:c>
      <x:c r="C43" s="8" t="str">
        <x:v>situational</x:v>
      </x:c>
      <x:c r="D43" s="8" t="str">
        <x:v>AI interface patterns</x:v>
      </x:c>
      <x:c r="E43" s="8" t="str">
        <x:v>D5; E3</x:v>
      </x:c>
      <x:c r="F43" s="8" t="str">
        <x:v>ai_agents</x:v>
      </x:c>
      <x:c r="G43" s="8" t="str">
        <x:v>Readable code diffs with inline or side-by-side comparison and block reversion.</x:v>
      </x:c>
      <x:c r="H43" s="8" t="str">
        <x:v>MIT</x:v>
      </x:c>
      <x:c r="I43" s="8" t="str">
        <x:v>permissive</x:v>
      </x:c>
      <x:c r="J43" s="8" t="str">
        <x:v>https://github.com/microsoft/monaco-editor</x:v>
      </x:c>
      <x:c r="K43" s="8" t="str">
        <x:v>https://microsoft.github.io/monaco-editor/docs.html</x:v>
      </x:c>
      <x:c r="L43" s="8" t="str">
        <x:v>Good: mount client-side with explicit editor/model disposal and worker configuration; React wrapper optional, separately verify it.</x:v>
      </x:c>
      <x:c r="M43" s="8" t="str">
        <x:v>TypeScript; framework-agnostic browser editor; Web Workers</x:v>
      </x:c>
      <x:c r="N43" s="10" t="n">
        <x:v>3</x:v>
      </x:c>
      <x:c r="O43" s="8" t="str">
        <x:v>https://microsoft.github.io/monaco-editor/</x:v>
      </x:c>
      <x:c r="P43" s="8" t="str">
        <x:v>Rendered official side-by-side Diff Editor inspected, including Revert Block actions. Functional rather than visually striking; needs app typography/theme. Demo labels v0.55.1, repo current0.57.0.</x:v>
      </x:c>
      <x:c r="Q43" s="8" t="str">
        <x:v>Language services use workers; dispose editors/models/listeners. Large diffs still need limits and profiling; lazy-load editor to avoid shell startup cost.</x:v>
      </x:c>
      <x:c r="R43" s="8" t="str">
        <x:v>Diff rendering/reversion is not authorization, persistence or per-change approval policy. Host must implement accept/reject semantics and stale-diff checks. Desktop only; mobile unsupported. AMD build deprecated.</x:v>
      </x:c>
      <x:c r="S43" s="12" t="d">
        <x:v>2026-09-24T12:00:00.000Z</x:v>
      </x:c>
      <x:c r="T43" s="8" t="str">
        <x:v>v0.57.0</x:v>
      </x:c>
      <x:c r="U43" s="12" t="d">
        <x:v>2026-10-13T12:00:00.000Z</x:v>
      </x:c>
      <x:c r="V43" s="8" t="str">
        <x:v>verified_active_within_6_months</x:v>
      </x:c>
      <x:c r="W43" s="8" t="str">
        <x:v>pass</x:v>
      </x:c>
      <x:c r="X43" s="10" t="n">
        <x:v>46900</x:v>
      </x:c>
      <x:c r="Y43" s="12" t="d">
        <x:v>2026-10-17T12:00:00.000Z</x:v>
      </x:c>
      <x:c r="Z43" s="8" t="str">
        <x:v>Microsoft; generated from VS Code sources</x:v>
      </x:c>
      <x:c r="AA43" s="8" t="str">
        <x:v>https://github.com/microsoft/monaco-editor/blob/main/LICENSE.txt</x:v>
      </x:c>
      <x:c r="AB43" s="8" t="str">
        <x:v>https://github.com/microsoft/monaco-editor/releases/tag/v0.57.0; https://github.com/microsoft/monaco-editor/commit/f54d769519ccf7d00e534346b47d01502afcf257; https://api.github.com/repos/microsoft/monaco-editor/releases?per_page=2</x:v>
      </x:c>
      <x:c r="AC43" s="8" t="str">
        <x:v>https://github.com/microsoft/monaco-editor/blob/main/README.md; https://github.com/microsoft/monaco-editor/blob/main/LICENSE.txt; https://microsoft.github.io/monaco-editor/</x:v>
      </x:c>
      <x:c r="AD43" s="8" t="str">
        <x:v>Editorial assessment of linked official output/docs; interaction and frame rate not benchmarked.</x:v>
      </x:c>
      <x:c r="AE43" s="8" t="str">
        <x:v>Capability exception to visual-first criterion: specialist review primitive, not a finished UI kit.</x:v>
      </x:c>
      <x:c r="AF43" s="12" t="d">
        <x:v>2026-10-17T12:00:00.000Z</x:v>
      </x:c>
      <x:c r="AG43" s="3" t="str">
        <x:v>Code review editor</x:v>
      </x:c>
      <x:c r="AH43" s="22" t="n">
        <x:v>81</x:v>
      </x:c>
      <x:c r="AI43" s="23" t="n">
        <x:v>3</x:v>
      </x:c>
      <x:c r="AJ43" s="23" t="n">
        <x:v>5</x:v>
      </x:c>
      <x:c r="AK43" s="23" t="n">
        <x:v>4</x:v>
      </x:c>
      <x:c r="AL43" s="23" t="n">
        <x:v>4</x:v>
      </x:c>
      <x:c r="AM43" s="23" t="n">
        <x:v>4</x:v>
      </x:c>
      <x:c r="AN43" s="23" t="n">
        <x:v>5</x:v>
      </x:c>
      <x:c r="AO43" s="23" t="n">
        <x:v>5</x:v>
      </x:c>
      <x:c r="AP43" s="23" t="n">
        <x:v>3</x:v>
      </x:c>
      <x:c r="AQ43" s="3" t="str">
        <x:v>medium</x:v>
      </x:c>
      <x:c r="AR43" s="3" t="str">
        <x:v>Use for a real code/diff editing surface with selection, syntax and familiar keyboard behaviour.</x:v>
      </x:c>
      <x:c r="AS43" s="3" t="str">
        <x:v>It does not implement semantic approval, per-action authorization or an audit trail.</x:v>
      </x:c>
      <x:c r="AT43" s="3" t="str"/>
      <x:c r="AU43" s="3" t="str">
        <x:v>https://microsoft.github.io/monaco-editor/docs.html</x:v>
      </x:c>
      <x:c r="AV43" s="3" t="str">
        <x:v>Integration documentation; this link is guidance, not an additional live demonstration.</x:v>
      </x:c>
      <x:c r="AW43" s="3" t="str">
        <x:v>documented</x:v>
      </x:c>
      <x:c r="AX43" s="3" t="str">
        <x:v>qualified_named_core_scope</x:v>
      </x:c>
    </x:row>
    <x:row r="44" ht="36" hidden="0" customHeight="1">
      <x:c r="A44" s="3" t="str">
        <x:v>numberflow</x:v>
      </x:c>
      <x:c r="B44" s="3" t="str">
        <x:v>NumberFlow</x:v>
      </x:c>
      <x:c r="C44" s="3" t="str">
        <x:v>situational</x:v>
      </x:c>
      <x:c r="D44" s="3" t="str">
        <x:v>Motion and animation</x:v>
      </x:c>
      <x:c r="E44" s="3" t="str">
        <x:v>A5; A6; C2; C6</x:v>
      </x:c>
      <x:c r="F44" s="3" t="str">
        <x:v>kpi_dashboards; realtime_trading; landing_pages; product_configurators</x:v>
      </x:c>
      <x:c r="G44" s="3" t="str">
        <x:v>Locale-aware fluid digit transitions for changing KPIs, prices and quantities.</x:v>
      </x:c>
      <x:c r="H44" s="3" t="str">
        <x:v>MIT</x:v>
      </x:c>
      <x:c r="I44" s="3" t="str">
        <x:v>permissive</x:v>
      </x:c>
      <x:c r="J44" s="3" t="str">
        <x:v>https://github.com/barvian/number-flow</x:v>
      </x:c>
      <x:c r="K44" s="3" t="str">
        <x:v>https://number-flow.barvian.me/</x:v>
      </x:c>
      <x:c r="L44" s="3" t="str">
        <x:v>Excellent React binding; SSR/browser capability and hydration behaviour should be tested on the target shell.</x:v>
      </x:c>
      <x:c r="M44" s="3" t="str">
        <x:v>Web component; React/Vue/Svelte bindings</x:v>
      </x:c>
      <x:c r="N44" s="9" t="n">
        <x:v>5</x:v>
      </x:c>
      <x:c r="O44" s="3" t="str">
        <x:v>https://number-flow.barvian.me/</x:v>
      </x:c>
      <x:c r="P44" s="3" t="str">
        <x:v>Editorial: shuffleable currency/number specimen shows smooth width and digit transitions.</x:v>
      </x:c>
      <x:c r="Q44" s="3" t="str">
        <x:v>Uses modern browser animation/CSS features; sample or batch fast feeds instead of animating every market tick.</x:v>
      </x:c>
      <x:c r="R44" s="3" t="str">
        <x:v>Modern browser support gates animation; fallback is a static number. A decorative enhancement, not an accurate-price transport or numeric input engine.</x:v>
      </x:c>
      <x:c r="S44" s="11" t="d">
        <x:v>2026-07-18T12:00:00.000Z</x:v>
      </x:c>
      <x:c r="T44" s="3" t="str">
        <x:v>@number-flow/react@0.6.2</x:v>
      </x:c>
      <x:c r="U44" s="11" t="d">
        <x:v>2026-09-20T12:00:00.000Z</x:v>
      </x:c>
      <x:c r="V44" s="3" t="str">
        <x:v>verified_active_within_6_months</x:v>
      </x:c>
      <x:c r="W44" s="3" t="str">
        <x:v>pass</x:v>
      </x:c>
      <x:c r="X44" s="9" t="n">
        <x:v>7800</x:v>
      </x:c>
      <x:c r="Y44" s="11" t="d">
        <x:v>2026-10-17T12:00:00.000Z</x:v>
      </x:c>
      <x:c r="Z44" s="3" t="str">
        <x:v>Max Barvian; community</x:v>
      </x:c>
      <x:c r="AA44" s="3" t="str">
        <x:v>https://github.com/barvian/number-flow/blob/main/LICENSE.md</x:v>
      </x:c>
      <x:c r="AB44" s="3" t="str">
        <x:v>https://github.com/barvian/number-flow/releases/tag/%40number-flow/react%400.6.2; https://github.com/barvian/number-flow/commit/c5906cf35c86583e756a6b91e043291c10b416e0; https://github.com/barvian/number-flow/commit/a7b78f5d4d4b1e2cd4cb53d09d7158461bad493a</x:v>
      </x:c>
      <x:c r="AC44" s="3" t="str">
        <x:v>https://api.github.com/repos/barvian/number-flow; https://github.com/barvian/number-flow/blob/main/LICENSE.md; https://number-flow.barvian.me/</x:v>
      </x:c>
      <x:c r="AD44" s="3" t="str">
        <x:v>Editorial assessment of linked official output/docs; interaction and frame rate not benchmarked.</x:v>
      </x:c>
      <x:c r="AE44" s="3" t="str">
        <x:v>Stars are rounded from fresh GitHub API metadata; visual scores are editorial, not measured benchmarks.</x:v>
      </x:c>
      <x:c r="AF44" s="11" t="d">
        <x:v>2026-10-17T12:00:00.000Z</x:v>
      </x:c>
      <x:c r="AG44" s="3" t="str">
        <x:v>Numeric motion</x:v>
      </x:c>
      <x:c r="AH44" s="22" t="n">
        <x:v>88</x:v>
      </x:c>
      <x:c r="AI44" s="23" t="n">
        <x:v>5</x:v>
      </x:c>
      <x:c r="AJ44" s="23" t="n">
        <x:v>4</x:v>
      </x:c>
      <x:c r="AK44" s="23" t="n">
        <x:v>4</x:v>
      </x:c>
      <x:c r="AL44" s="23" t="n">
        <x:v>4</x:v>
      </x:c>
      <x:c r="AM44" s="23" t="n">
        <x:v>5</x:v>
      </x:c>
      <x:c r="AN44" s="23" t="n">
        <x:v>4</x:v>
      </x:c>
      <x:c r="AO44" s="23" t="n">
        <x:v>4</x:v>
      </x:c>
      <x:c r="AP44" s="23" t="n">
        <x:v>5</x:v>
      </x:c>
      <x:c r="AQ44" s="3" t="str">
        <x:v>low</x:v>
      </x:c>
      <x:c r="AR44" s="3" t="str">
        <x:v>Use when changing numeric values should remain legible and trackable through motion.</x:v>
      </x:c>
      <x:c r="AS44" s="3" t="str">
        <x:v>Avoid animating every incoming trading tick or hiding the static value from assistive technology.</x:v>
      </x:c>
      <x:c r="AT44" s="3" t="str">
        <x:v>Motion</x:v>
      </x:c>
      <x:c r="AU44" s="3" t="str">
        <x:v>https://number-flow.barvian.me/</x:v>
      </x:c>
      <x:c r="AV44" s="3" t="str">
        <x:v>Integration documentation; this link is guidance, not an additional live demonstration.</x:v>
      </x:c>
      <x:c r="AW44" s="3" t="str">
        <x:v>documented</x:v>
      </x:c>
      <x:c r="AX44" s="3" t="str">
        <x:v>qualified_named_core_scope</x:v>
      </x:c>
    </x:row>
    <x:row r="45" ht="36" hidden="0" customHeight="1">
      <x:c r="A45" s="8" t="str">
        <x:v>open_props</x:v>
      </x:c>
      <x:c r="B45" s="8" t="str">
        <x:v>Open Props</x:v>
      </x:c>
      <x:c r="C45" s="8" t="str">
        <x:v>situational</x:v>
      </x:c>
      <x:c r="D45" s="8" t="str">
        <x:v>Component libraries and UI kits</x:v>
      </x:c>
      <x:c r="E45" s="8" t="str">
        <x:v>A1; A2; A3; A4; A5; A6</x:v>
      </x:c>
      <x:c r="F45" s="8" t="str">
        <x:v>simple_charts; kpi_dashboards; realtime_trading; live_maps; landing_pages; product_configurators; multiplayer_whiteboards; video_timelines; network_graphs; ai_agents</x:v>
      </x:c>
      <x:c r="G45" s="8" t="str">
        <x:v>Composable CSS custom-property scales for shadows, radii, type, spacing and animation.</x:v>
      </x:c>
      <x:c r="H45" s="8" t="str">
        <x:v>MIT</x:v>
      </x:c>
      <x:c r="I45" s="8" t="str">
        <x:v>permissive</x:v>
      </x:c>
      <x:c r="J45" s="8" t="str">
        <x:v>https://github.com/argyleink/open-props</x:v>
      </x:c>
      <x:c r="K45" s="8" t="str">
        <x:v>https://open-props.style/</x:v>
      </x:c>
      <x:c r="L45" s="8" t="str">
        <x:v>Excellent CSS-level React/Next fit; selectively adopt tokens without a component runtime.</x:v>
      </x:c>
      <x:c r="M45" s="8" t="str">
        <x:v>Framework-agnostic CSS; optional PostCSS tooling</x:v>
      </x:c>
      <x:c r="N45" s="10" t="n">
        <x:v>4</x:v>
      </x:c>
      <x:c r="O45" s="8" t="str">
        <x:v>https://open-props.style/#shadows</x:v>
      </x:c>
      <x:c r="P45" s="8" t="str">
        <x:v>Editorial: interactive property specimens make depth and motion scales concrete.</x:v>
      </x:c>
      <x:c r="Q45" s="8" t="str">
        <x:v>CSS variables have no JS component runtime; use selective CSS and benchmark blur/shadow animation.</x:v>
      </x:c>
      <x:c r="R45" s="8" t="str">
        <x:v>Recent meaningful commits qualify activity, but GitHub release cadence is slow (latest Release object is 2023). No component semantics or visual-system governance.</x:v>
      </x:c>
      <x:c r="S45" s="12" t="d">
        <x:v>2023-09-29T12:00:00.000Z</x:v>
      </x:c>
      <x:c r="T45" s="8" t="str">
        <x:v>v1.6.0</x:v>
      </x:c>
      <x:c r="U45" s="12" t="d">
        <x:v>2026-10-11T12:00:00.000Z</x:v>
      </x:c>
      <x:c r="V45" s="8" t="str">
        <x:v>verified_active_within_6_months</x:v>
      </x:c>
      <x:c r="W45" s="8" t="str">
        <x:v>pass</x:v>
      </x:c>
      <x:c r="X45" s="10" t="n">
        <x:v>5500</x:v>
      </x:c>
      <x:c r="Y45" s="12" t="d">
        <x:v>2026-10-17T12:00:00.000Z</x:v>
      </x:c>
      <x:c r="Z45" s="8" t="str">
        <x:v>Adam Argyle; community</x:v>
      </x:c>
      <x:c r="AA45" s="8" t="str">
        <x:v>https://github.com/argyleink/open-props/blob/main/LICENSE</x:v>
      </x:c>
      <x:c r="AB45" s="8" t="str">
        <x:v>https://github.com/argyleink/open-props/releases/tag/v1.6.0; https://github.com/argyleink/open-props/commit/f39ab7c377a0e047f930982e3611bbc95254a260</x:v>
      </x:c>
      <x:c r="AC45" s="8" t="str">
        <x:v>https://api.github.com/repos/argyleink/open-props; https://github.com/argyleink/open-props/blob/main/LICENSE; https://open-props.style/; https://open-props.style/#shadows</x:v>
      </x:c>
      <x:c r="AD45" s="8" t="str">
        <x:v>Editorial assessment of linked official output/docs; interaction and frame rate not benchmarked.</x:v>
      </x:c>
      <x:c r="AE45" s="8" t="str">
        <x:v>Stars are rounded from fresh GitHub API metadata; visual scores are editorial, not measured benchmarks.</x:v>
      </x:c>
      <x:c r="AF45" s="12" t="d">
        <x:v>2026-10-17T12:00:00.000Z</x:v>
      </x:c>
      <x:c r="AG45" s="3" t="str">
        <x:v>CSS foundation</x:v>
      </x:c>
      <x:c r="AH45" s="22" t="n">
        <x:v>77</x:v>
      </x:c>
      <x:c r="AI45" s="23" t="n">
        <x:v>4</x:v>
      </x:c>
      <x:c r="AJ45" s="23" t="n">
        <x:v>3</x:v>
      </x:c>
      <x:c r="AK45" s="23" t="n">
        <x:v>3</x:v>
      </x:c>
      <x:c r="AL45" s="23" t="n">
        <x:v>5</x:v>
      </x:c>
      <x:c r="AM45" s="23" t="n">
        <x:v>4</x:v>
      </x:c>
      <x:c r="AN45" s="23" t="n">
        <x:v>4</x:v>
      </x:c>
      <x:c r="AO45" s="23" t="n">
        <x:v>4</x:v>
      </x:c>
      <x:c r="AP45" s="23" t="n">
        <x:v>4</x:v>
      </x:c>
      <x:c r="AQ45" s="3" t="str">
        <x:v>medium</x:v>
      </x:c>
      <x:c r="AR45" s="3" t="str">
        <x:v>Choose CSS custom-property scales and small reusable motion/surface primitives with little runtime.</x:v>
      </x:c>
      <x:c r="AS45" s="3" t="str">
        <x:v>It is not a styled component kit or a replacement for semantic token governance.</x:v>
      </x:c>
      <x:c r="AT45" s="3" t="str">
        <x:v>Tailwind CSS; Style Dictionary</x:v>
      </x:c>
      <x:c r="AU45" s="3" t="str">
        <x:v>https://open-props.style/</x:v>
      </x:c>
      <x:c r="AV45" s="3" t="str">
        <x:v>Integration documentation; this link is guidance, not an additional live demonstration.</x:v>
      </x:c>
      <x:c r="AW45" s="3" t="str">
        <x:v>documented</x:v>
      </x:c>
      <x:c r="AX45" s="3" t="str">
        <x:v>qualified_named_core_scope</x:v>
      </x:c>
    </x:row>
    <x:row r="46" ht="36" hidden="0" customHeight="1">
      <x:c r="A46" s="3" t="str">
        <x:v>radix_primitives</x:v>
      </x:c>
      <x:c r="B46" s="3" t="str">
        <x:v>Radix Primitives</x:v>
      </x:c>
      <x:c r="C46" s="3" t="str">
        <x:v>situational</x:v>
      </x:c>
      <x:c r="D46" s="3" t="str">
        <x:v>Component libraries and UI kits</x:v>
      </x:c>
      <x:c r="E46" s="3" t="str">
        <x:v>A6; A7; B1; B4; B5; B7; F3</x:v>
      </x:c>
      <x:c r="F46" s="3" t="str">
        <x:v>simple_charts; kpi_dashboards; realtime_trading; live_maps; landing_pages; product_configurators; multiplayer_whiteboards; video_timelines; network_graphs; ai_agents</x:v>
      </x:c>
      <x:c r="G46" s="3" t="str">
        <x:v>Established accessible headless menus, overlays, tabs and form controls with broad ecosystem support.</x:v>
      </x:c>
      <x:c r="H46" s="3" t="str">
        <x:v>MIT</x:v>
      </x:c>
      <x:c r="I46" s="3" t="str">
        <x:v>permissive</x:v>
      </x:c>
      <x:c r="J46" s="3" t="str">
        <x:v>https://github.com/radix-ui/primitives</x:v>
      </x:c>
      <x:c r="K46" s="3" t="str">
        <x:v>https://www.radix-ui.com/primitives</x:v>
      </x:c>
      <x:c r="L46" s="3" t="str">
        <x:v>Excellent established React/Next support; interactive primitives require a client boundary.</x:v>
      </x:c>
      <x:c r="M46" s="3" t="str">
        <x:v>React/TypeScript; unstyled primitives</x:v>
      </x:c>
      <x:c r="N46" s="9" t="n">
        <x:v>4</x:v>
      </x:c>
      <x:c r="O46" s="3" t="str">
        <x:v>https://www.radix-ui.com/primitives/docs/components/navigation-menu</x:v>
      </x:c>
      <x:c r="P46" s="3" t="str">
        <x:v>Editorial: navigation menu preview shows refined layered composition; supplied styling is optional.</x:v>
      </x:c>
      <x:c r="Q46" s="3" t="str">
        <x:v>Import required primitives; large menus/collections need profiling and deliberate rendering.</x:v>
      </x:c>
      <x:c r="R46" s="3" t="str">
        <x:v>Do not mix several focus/overlay engines casually. Maintenance is verified by meaningful October commits; no GitHub Release object was published in the API response.</x:v>
      </x:c>
      <x:c r="S46" s="11" t="str"/>
      <x:c r="T46" s="3" t="str"/>
      <x:c r="U46" s="11" t="d">
        <x:v>2026-10-14T12:00:00.000Z</x:v>
      </x:c>
      <x:c r="V46" s="3" t="str">
        <x:v>verified_active_within_6_months</x:v>
      </x:c>
      <x:c r="W46" s="3" t="str">
        <x:v>pass</x:v>
      </x:c>
      <x:c r="X46" s="9" t="n">
        <x:v>19400</x:v>
      </x:c>
      <x:c r="Y46" s="11" t="d">
        <x:v>2026-10-17T12:00:00.000Z</x:v>
      </x:c>
      <x:c r="Z46" s="3" t="str">
        <x:v>Radix maintainers; WorkOS-origin project</x:v>
      </x:c>
      <x:c r="AA46" s="3" t="str">
        <x:v>https://github.com/radix-ui/primitives/blob/main/LICENSE</x:v>
      </x:c>
      <x:c r="AB46" s="3" t="str">
        <x:v>https://github.com/radix-ui/primitives/commit/eb3a2b7091293e27df8f9ba906632d8daa3d81a3; https://github.com/radix-ui/primitives/commit/d715acbf2283c7867ad01165586d97fd6c163f09</x:v>
      </x:c>
      <x:c r="AC46" s="3" t="str">
        <x:v>https://api.github.com/repos/radix-ui/primitives; https://github.com/radix-ui/primitives/blob/main/LICENSE; https://www.radix-ui.com/primitives; https://www.radix-ui.com/primitives/docs/components/navigation-menu</x:v>
      </x:c>
      <x:c r="AD46" s="3" t="str">
        <x:v>Editorial assessment of linked official output/docs; interaction and frame rate not benchmarked.</x:v>
      </x:c>
      <x:c r="AE46" s="3" t="str">
        <x:v>No GitHub Release returned; activity gate is met through source commits.</x:v>
      </x:c>
      <x:c r="AF46" s="11" t="d">
        <x:v>2026-10-17T12:00:00.000Z</x:v>
      </x:c>
      <x:c r="AG46" s="3" t="str">
        <x:v>Accessible primitives</x:v>
      </x:c>
      <x:c r="AH46" s="22" t="n">
        <x:v>89</x:v>
      </x:c>
      <x:c r="AI46" s="23" t="n">
        <x:v>4</x:v>
      </x:c>
      <x:c r="AJ46" s="23" t="n">
        <x:v>5</x:v>
      </x:c>
      <x:c r="AK46" s="23" t="n">
        <x:v>4</x:v>
      </x:c>
      <x:c r="AL46" s="23" t="n">
        <x:v>4</x:v>
      </x:c>
      <x:c r="AM46" s="23" t="n">
        <x:v>5</x:v>
      </x:c>
      <x:c r="AN46" s="23" t="n">
        <x:v>5</x:v>
      </x:c>
      <x:c r="AO46" s="23" t="n">
        <x:v>5</x:v>
      </x:c>
      <x:c r="AP46" s="23" t="n">
        <x:v>4</x:v>
      </x:c>
      <x:c r="AQ46" s="3" t="str">
        <x:v>medium</x:v>
      </x:c>
      <x:c r="AR46" s="3" t="str">
        <x:v>Choose established headless React overlays and control patterns when their model matches your app.</x:v>
      </x:c>
      <x:c r="AS46" s="3" t="str">
        <x:v>Review project health per package and copied cmdk/Vaul dependencies rather than assuming the whole ecosystem is active.</x:v>
      </x:c>
      <x:c r="AT46" s="3" t="str">
        <x:v>Base UI; React Aria Components; Ark UI</x:v>
      </x:c>
      <x:c r="AU46" s="3" t="str">
        <x:v>https://www.radix-ui.com/primitives</x:v>
      </x:c>
      <x:c r="AV46" s="3" t="str">
        <x:v>Integration documentation; this link is guidance, not an additional live demonstration.</x:v>
      </x:c>
      <x:c r="AW46" s="3" t="str">
        <x:v>documented</x:v>
      </x:c>
      <x:c r="AX46" s="3" t="str">
        <x:v>qualified_named_core_scope</x:v>
      </x:c>
    </x:row>
    <x:row r="47" ht="48" hidden="0" customHeight="1">
      <x:c r="A47" s="8" t="str">
        <x:v>react-grid-layout</x:v>
      </x:c>
      <x:c r="B47" s="8" t="str">
        <x:v>React Grid Layout</x:v>
      </x:c>
      <x:c r="C47" s="8" t="str">
        <x:v>situational</x:v>
      </x:c>
      <x:c r="D47" s="8" t="str">
        <x:v>Component libraries and UI kits</x:v>
      </x:c>
      <x:c r="E47" s="8" t="str">
        <x:v>A3; B3; C2</x:v>
      </x:c>
      <x:c r="F47" s="8" t="str">
        <x:v>kpi_dashboards; realtime_trading; ai_agents</x:v>
      </x:c>
      <x:c r="G47" s="8" t="str">
        <x:v>Persistent draggable, resizable dashboard cards with responsive layouts.</x:v>
      </x:c>
      <x:c r="H47" s="8" t="str">
        <x:v>MIT</x:v>
      </x:c>
      <x:c r="I47" s="8" t="str">
        <x:v>permissive</x:v>
      </x:c>
      <x:c r="J47" s="8" t="str">
        <x:v>https://github.com/react-grid-layout/react-grid-layout</x:v>
      </x:c>
      <x:c r="K47" s="8" t="str">
        <x:v>https://github.com/react-grid-layout/react-grid-layout</x:v>
      </x:c>
      <x:c r="L47" s="8" t="str">
        <x:v>Excellent React fit; render in client boundary and persist layout by stable widget IDs.</x:v>
      </x:c>
      <x:c r="M47" s="8" t="str">
        <x:v>React; TypeScript</x:v>
      </x:c>
      <x:c r="N47" s="10" t="n">
        <x:v>3</x:v>
      </x:c>
      <x:c r="O47" s="8" t="str">
        <x:v>https://react-grid-layout.github.io/react-grid-layout/examples/0-showcase.html</x:v>
      </x:c>
      <x:c r="P47" s="8" t="str">
        <x:v>Layout primitive: official showcase demonstrates resizing/reordering; visual polish comes from card contents, not library styling.</x:v>
      </x:c>
      <x:c r="Q47" s="8" t="str">
        <x:v>Transform-based dragging; memoize children and avoid rerendering expensive charts on every pointer move. Resize charts after panel geometry changes.</x:v>
      </x:c>
      <x:c r="R47" s="8" t="str">
        <x:v>Not a bento visual system or analytics/cross-filter engine; provide keyboard reordering, constrained breakpoints and reset-layout UX.</x:v>
      </x:c>
      <x:c r="S47" s="12" t="d">
        <x:v>2026-10-05T12:00:00.000Z</x:v>
      </x:c>
      <x:c r="T47" s="8" t="str">
        <x:v>2.3.0</x:v>
      </x:c>
      <x:c r="U47" s="12" t="str"/>
      <x:c r="V47" s="8" t="str">
        <x:v>pass: release inside 2026-04-17–2026-10-17</x:v>
      </x:c>
      <x:c r="W47" s="8" t="str">
        <x:v>pass</x:v>
      </x:c>
      <x:c r="X47" s="10" t="n">
        <x:v>22500</x:v>
      </x:c>
      <x:c r="Y47" s="12" t="d">
        <x:v>2026-10-17T12:00:00.000Z</x:v>
      </x:c>
      <x:c r="Z47" s="8" t="str">
        <x:v>Community; STRML</x:v>
      </x:c>
      <x:c r="AA47" s="8" t="str">
        <x:v>https://github.com/react-grid-layout/react-grid-layout/blob/master/LICENSE</x:v>
      </x:c>
      <x:c r="AB47" s="8" t="str">
        <x:v>https://github.com/react-grid-layout/react-grid-layout/releases/tag/2.3.0</x:v>
      </x:c>
      <x:c r="AC47" s="8" t="str">
        <x:v>https://github.com/react-grid-layout/react-grid-layout; https://react-grid-layout.github.io/react-grid-layout/examples/0-showcase.html; https://api.github.com/repos/react-grid-layout/react-grid-layout; https://github.com/react-grid-layout/react-grid-layout/blob/master/LICENSE</x:v>
      </x:c>
      <x:c r="AD47" s="8" t="str">
        <x:v>Editorial assessment of linked official output/docs; interaction and frame rate not benchmarked.</x:v>
      </x:c>
      <x:c r="AE47" s="8" t="str">
        <x:v>Keep for user-customizable dashboards; CSS Grid is the simpler default for fixed composition.</x:v>
      </x:c>
      <x:c r="AF47" s="12" t="d">
        <x:v>2026-10-17T12:00:00.000Z</x:v>
      </x:c>
      <x:c r="AG47" s="3" t="str">
        <x:v>Workspace layout</x:v>
      </x:c>
      <x:c r="AH47" s="22" t="n">
        <x:v>75</x:v>
      </x:c>
      <x:c r="AI47" s="23" t="n">
        <x:v>3</x:v>
      </x:c>
      <x:c r="AJ47" s="23" t="n">
        <x:v>5</x:v>
      </x:c>
      <x:c r="AK47" s="23" t="n">
        <x:v>2</x:v>
      </x:c>
      <x:c r="AL47" s="23" t="n">
        <x:v>4</x:v>
      </x:c>
      <x:c r="AM47" s="23" t="n">
        <x:v>5</x:v>
      </x:c>
      <x:c r="AN47" s="23" t="n">
        <x:v>4</x:v>
      </x:c>
      <x:c r="AO47" s="23" t="n">
        <x:v>4</x:v>
      </x:c>
      <x:c r="AP47" s="23" t="n">
        <x:v>3</x:v>
      </x:c>
      <x:c r="AQ47" s="3" t="str">
        <x:v>medium</x:v>
      </x:c>
      <x:c r="AR47" s="3" t="str">
        <x:v>Choose movable/resizable dashboard tiles with saved layout and explicit drag affordances.</x:v>
      </x:c>
      <x:c r="AS47" s="3" t="str">
        <x:v>It does not implement dockable tab groups; keyboard layout editing needs deliberate work.</x:v>
      </x:c>
      <x:c r="AT47" s="3" t="str">
        <x:v>Dockview (MIT core); react-resizable-panels</x:v>
      </x:c>
      <x:c r="AU47" s="3" t="str">
        <x:v>https://github.com/react-grid-layout/react-grid-layout</x:v>
      </x:c>
      <x:c r="AV47" s="3" t="str">
        <x:v>Integration documentation; this link is guidance, not an additional live demonstration.</x:v>
      </x:c>
      <x:c r="AW47" s="3" t="str">
        <x:v>documented</x:v>
      </x:c>
      <x:c r="AX47" s="3" t="str">
        <x:v>qualified_named_core_scope</x:v>
      </x:c>
    </x:row>
    <x:row r="48" ht="36" hidden="0" customHeight="1">
      <x:c r="A48" s="3" t="str">
        <x:v>react_resizable_panels</x:v>
      </x:c>
      <x:c r="B48" s="3" t="str">
        <x:v>react-resizable-panels</x:v>
      </x:c>
      <x:c r="C48" s="3" t="str">
        <x:v>situational</x:v>
      </x:c>
      <x:c r="D48" s="3" t="str">
        <x:v>Component libraries and UI kits</x:v>
      </x:c>
      <x:c r="E48" s="3" t="str">
        <x:v>A3; B1; B3</x:v>
      </x:c>
      <x:c r="F48" s="3" t="str">
        <x:v>kpi_dashboards; realtime_trading; product_configurators; multiplayer_whiteboards; video_timelines; network_graphs; ai_agents</x:v>
      </x:c>
      <x:c r="G48" s="3" t="str">
        <x:v>Accessible nested resizable split panes without the complexity of a full docking system.</x:v>
      </x:c>
      <x:c r="H48" s="3" t="str">
        <x:v>MIT</x:v>
      </x:c>
      <x:c r="I48" s="3" t="str">
        <x:v>permissive</x:v>
      </x:c>
      <x:c r="J48" s="3" t="str">
        <x:v>https://github.com/bvaughn/react-resizable-panels</x:v>
      </x:c>
      <x:c r="K48" s="3" t="str">
        <x:v>https://react-resizable-panels.vercel.app/</x:v>
      </x:c>
      <x:c r="L48" s="3" t="str">
        <x:v>Excellent; client component with persisted layout; account for server/client initial size differences.</x:v>
      </x:c>
      <x:c r="M48" s="3" t="str">
        <x:v>React/TypeScript</x:v>
      </x:c>
      <x:c r="N48" s="9" t="n">
        <x:v>4</x:v>
      </x:c>
      <x:c r="O48" s="3" t="str">
        <x:v>https://react-resizable-panels.vercel.app/</x:v>
      </x:c>
      <x:c r="P48" s="3" t="str">
        <x:v>Editorial estimate from official example surface; choose custom panel chrome to match the app.</x:v>
      </x:c>
      <x:c r="Q48" s="3" t="str">
        <x:v>Avoid resizing expensive chart/canvas contents synchronously on every pointer event; observe container dimensions carefully.</x:v>
      </x:c>
      <x:c r="R48" s="3" t="str">
        <x:v>Not a dockable workspace, tab manager or popout system. Persistence and minimum-size behaviour need product rules.</x:v>
      </x:c>
      <x:c r="S48" s="11" t="d">
        <x:v>2026-10-12T12:00:00.000Z</x:v>
      </x:c>
      <x:c r="T48" s="3" t="str">
        <x:v>4.14.5</x:v>
      </x:c>
      <x:c r="U48" s="11" t="d">
        <x:v>2026-10-12T12:00:00.000Z</x:v>
      </x:c>
      <x:c r="V48" s="3" t="str">
        <x:v>verified_active_within_6_months</x:v>
      </x:c>
      <x:c r="W48" s="3" t="str">
        <x:v>pass</x:v>
      </x:c>
      <x:c r="X48" s="9" t="n">
        <x:v>5400</x:v>
      </x:c>
      <x:c r="Y48" s="11" t="d">
        <x:v>2026-10-17T12:00:00.000Z</x:v>
      </x:c>
      <x:c r="Z48" s="3" t="str">
        <x:v>Brian Vaughn; community</x:v>
      </x:c>
      <x:c r="AA48" s="3" t="str">
        <x:v>https://github.com/bvaughn/react-resizable-panels/blob/main/LICENSE.md</x:v>
      </x:c>
      <x:c r="AB48" s="3" t="str">
        <x:v>https://github.com/bvaughn/react-resizable-panels/releases/tag/4.14.5; https://github.com/bvaughn/react-resizable-panels/commit/00766aa4b967ce3050908075ed891f4a9e96a86e</x:v>
      </x:c>
      <x:c r="AC48" s="3" t="str">
        <x:v>https://api.github.com/repos/bvaughn/react-resizable-panels; https://github.com/bvaughn/react-resizable-panels/blob/main/LICENSE.md; https://react-resizable-panels.vercel.app/</x:v>
      </x:c>
      <x:c r="AD48" s="3" t="str">
        <x:v>Editorial assessment of linked official output/docs; interaction and frame rate not benchmarked.</x:v>
      </x:c>
      <x:c r="AE48" s="3" t="str">
        <x:v>Stars are rounded from fresh GitHub API metadata; visual scores are editorial, not measured benchmarks.</x:v>
      </x:c>
      <x:c r="AF48" s="11" t="d">
        <x:v>2026-10-17T12:00:00.000Z</x:v>
      </x:c>
      <x:c r="AG48" s="3" t="str">
        <x:v>Workspace layout</x:v>
      </x:c>
      <x:c r="AH48" s="22" t="n">
        <x:v>84</x:v>
      </x:c>
      <x:c r="AI48" s="23" t="n">
        <x:v>4</x:v>
      </x:c>
      <x:c r="AJ48" s="23" t="n">
        <x:v>4</x:v>
      </x:c>
      <x:c r="AK48" s="23" t="n">
        <x:v>4</x:v>
      </x:c>
      <x:c r="AL48" s="23" t="n">
        <x:v>4</x:v>
      </x:c>
      <x:c r="AM48" s="23" t="n">
        <x:v>5</x:v>
      </x:c>
      <x:c r="AN48" s="23" t="n">
        <x:v>4</x:v>
      </x:c>
      <x:c r="AO48" s="23" t="n">
        <x:v>4</x:v>
      </x:c>
      <x:c r="AP48" s="23" t="n">
        <x:v>5</x:v>
      </x:c>
      <x:c r="AQ48" s="3" t="str">
        <x:v>low</x:v>
      </x:c>
      <x:c r="AR48" s="3" t="str">
        <x:v>Use for a small number of keyboard-resizable panes and simple saved split positions.</x:v>
      </x:c>
      <x:c r="AS48" s="3" t="str">
        <x:v>Choose Dockview when users need docking, tab groups or a full workspace model.</x:v>
      </x:c>
      <x:c r="AT48" s="3" t="str">
        <x:v>Dockview (MIT core); React Grid Layout</x:v>
      </x:c>
      <x:c r="AU48" s="3" t="str">
        <x:v>https://react-resizable-panels.vercel.app/</x:v>
      </x:c>
      <x:c r="AV48" s="3" t="str">
        <x:v>Integration documentation; this link is guidance, not an additional live demonstration.</x:v>
      </x:c>
      <x:c r="AW48" s="3" t="str">
        <x:v>documented</x:v>
      </x:c>
      <x:c r="AX48" s="3" t="str">
        <x:v>qualified_named_core_scope</x:v>
      </x:c>
    </x:row>
    <x:row r="49" ht="48" hidden="0" customHeight="1">
      <x:c r="A49" s="8" t="str">
        <x:v>schedule-x</x:v>
      </x:c>
      <x:c r="B49" s="8" t="str">
        <x:v>Schedule-X core</x:v>
      </x:c>
      <x:c r="C49" s="8" t="str">
        <x:v>situational</x:v>
      </x:c>
      <x:c r="D49" s="8" t="str">
        <x:v>Component libraries and UI kits</x:v>
      </x:c>
      <x:c r="E49" s="8" t="str">
        <x:v>C5</x:v>
      </x:c>
      <x:c r="F49" s="8" t="str">
        <x:v>kpi_dashboards; ai_agents</x:v>
      </x:c>
      <x:c r="G49" s="8" t="str">
        <x:v>A newer calendar with clean default styling, dark mode and framework adapters.</x:v>
      </x:c>
      <x:c r="H49" s="8" t="str">
        <x:v>MIT</x:v>
      </x:c>
      <x:c r="I49" s="8" t="str">
        <x:v>permissive</x:v>
      </x:c>
      <x:c r="J49" s="8" t="str">
        <x:v>https://github.com/schedule-x/schedule-x</x:v>
      </x:c>
      <x:c r="K49" s="8" t="str">
        <x:v>https://schedule-x.dev/docs/calendar</x:v>
      </x:c>
      <x:c r="L49" s="8" t="str">
        <x:v>Good official React component; client rendering and Temporal/polyfill compatibility need version alignment.</x:v>
      </x:c>
      <x:c r="M49" s="8" t="str">
        <x:v>TypeScript; Preact internals; React/Vue/Angular/Svelte adapters</x:v>
      </x:c>
      <x:c r="N49" s="10" t="n">
        <x:v>4</x:v>
      </x:c>
      <x:c r="O49" s="8" t="str">
        <x:v>https://schedule-x.dev/</x:v>
      </x:c>
      <x:c r="P49" s="8" t="str">
        <x:v>Live browser visual review 2026-10-17: week calendar with overlapping event cards; homepage demo contains premium interactions, excluded from OSS capability rating.</x:v>
      </x:c>
      <x:c r="Q49" s="8" t="str">
        <x:v>Fetch only the displayed date window; assess overlap density and adapter updates on target desktops. No workload benchmark performed.</x:v>
      </x:c>
      <x:c r="R49" s="8" t="str">
        <x:v>Core MIT; current drag/drop, resizing, resource scheduler, Gantt and other starred plugins are premium. Homepage demo must not imply all its interactions are free.</x:v>
      </x:c>
      <x:c r="S49" s="12" t="str"/>
      <x:c r="T49" s="8" t="str"/>
      <x:c r="U49" s="12" t="d">
        <x:v>2026-10-06T12:00:00.000Z</x:v>
      </x:c>
      <x:c r="V49" s="8" t="str">
        <x:v>pass: meaningful year-grid feature commit 2026-09-29; no GitHub releases</x:v>
      </x:c>
      <x:c r="W49" s="8" t="str">
        <x:v>pass</x:v>
      </x:c>
      <x:c r="X49" s="10" t="n">
        <x:v>2600</x:v>
      </x:c>
      <x:c r="Y49" s="12" t="d">
        <x:v>2026-10-17T12:00:00.000Z</x:v>
      </x:c>
      <x:c r="Z49" s="8" t="str">
        <x:v>Tom Österlund / Schedule-X</x:v>
      </x:c>
      <x:c r="AA49" s="8" t="str">
        <x:v>https://github.com/schedule-x/schedule-x/blob/main/LICENSE</x:v>
      </x:c>
      <x:c r="AB49" s="8" t="str">
        <x:v>https://github.com/schedule-x/schedule-x/commit/44c8321a1854009c2b629cc94b962c0fdb67c99b; https://github.com/schedule-x/schedule-x/commit/9ea701536aa9a0e9515635c176100074c4797e91</x:v>
      </x:c>
      <x:c r="AC49" s="8" t="str">
        <x:v>https://schedule-x.dev/docs/calendar; https://schedule-x.dev/; https://api.github.com/repos/schedule-x/schedule-x; https://github.com/schedule-x/schedule-x/blob/main/LICENSE</x:v>
      </x:c>
      <x:c r="AD49" s="8" t="str">
        <x:v>Editorial assessment of linked official output/docs; interaction and frame rate not benchmarked.</x:v>
      </x:c>
      <x:c r="AE49" s="8" t="str">
        <x:v>No GitHub release objects. Maintained via meaningful 2026-09-29 year-grid feature commit; latest default-branch commit is website-only.</x:v>
      </x:c>
      <x:c r="AF49" s="12" t="d">
        <x:v>2026-10-17T12:00:00.000Z</x:v>
      </x:c>
      <x:c r="AG49" s="3" t="str">
        <x:v>Scheduling</x:v>
      </x:c>
      <x:c r="AH49" s="22" t="n">
        <x:v>80</x:v>
      </x:c>
      <x:c r="AI49" s="23" t="n">
        <x:v>4</x:v>
      </x:c>
      <x:c r="AJ49" s="23" t="n">
        <x:v>4</x:v>
      </x:c>
      <x:c r="AK49" s="23" t="n">
        <x:v>3</x:v>
      </x:c>
      <x:c r="AL49" s="23" t="n">
        <x:v>4</x:v>
      </x:c>
      <x:c r="AM49" s="23" t="n">
        <x:v>5</x:v>
      </x:c>
      <x:c r="AN49" s="23" t="n">
        <x:v>4</x:v>
      </x:c>
      <x:c r="AO49" s="23" t="n">
        <x:v>4</x:v>
      </x:c>
      <x:c r="AP49" s="23" t="n">
        <x:v>4</x:v>
      </x:c>
      <x:c r="AQ49" s="3" t="str">
        <x:v>medium</x:v>
      </x:c>
      <x:c r="AR49" s="3" t="str">
        <x:v>Choose a modern calendar surface when its free-core views and framework adapters cover the brief.</x:v>
      </x:c>
      <x:c r="AS49" s="3" t="str">
        <x:v>Check drag/resize, recurrence and premium plugin boundaries before committing.</x:v>
      </x:c>
      <x:c r="AT49" s="3" t="str">
        <x:v>FullCalendar Standard</x:v>
      </x:c>
      <x:c r="AU49" s="3" t="str">
        <x:v>https://schedule-x.dev/docs/calendar</x:v>
      </x:c>
      <x:c r="AV49" s="3" t="str">
        <x:v>Integration documentation; this link is guidance, not an additional live demonstration.</x:v>
      </x:c>
      <x:c r="AW49" s="3" t="str">
        <x:v>documented</x:v>
      </x:c>
      <x:c r="AX49" s="3" t="str">
        <x:v>qualified_named_core_scope</x:v>
      </x:c>
    </x:row>
    <x:row r="50" ht="36" hidden="0" customHeight="1">
      <x:c r="A50" s="3" t="str">
        <x:v>wavesurfer</x:v>
      </x:c>
      <x:c r="B50" s="3" t="str">
        <x:v>wavesurfer.js</x:v>
      </x:c>
      <x:c r="C50" s="3" t="str">
        <x:v>situational</x:v>
      </x:c>
      <x:c r="D50" s="3" t="str">
        <x:v>Canvas and collaboration</x:v>
      </x:c>
      <x:c r="E50" s="3" t="str">
        <x:v>C5; D4</x:v>
      </x:c>
      <x:c r="F50" s="3" t="str">
        <x:v>video_timelines</x:v>
      </x:c>
      <x:c r="G50" s="3" t="str">
        <x:v>Waveforms with region handles, timeline, zoom and playback cues.</x:v>
      </x:c>
      <x:c r="H50" s="3" t="str">
        <x:v>BSD-3-Clause</x:v>
      </x:c>
      <x:c r="I50" s="3" t="str">
        <x:v>permissive</x:v>
      </x:c>
      <x:c r="J50" s="3" t="str">
        <x:v>https://github.com/katspaugh/wavesurfer.js</x:v>
      </x:c>
      <x:c r="K50" s="3" t="str">
        <x:v>https://wavesurfer.xyz/docs/</x:v>
      </x:c>
      <x:c r="L50" s="3" t="str">
        <x:v>Good React examples/integration; instantiate in a client component and destroy on unmount.</x:v>
      </x:c>
      <x:c r="M50" s="3" t="str">
        <x:v>TypeScript; Web Audio/HTML media; Canvas</x:v>
      </x:c>
      <x:c r="N50" s="9" t="n">
        <x:v>3</x:v>
      </x:c>
      <x:c r="O50" s="3" t="str">
        <x:v>https://wavesurfer.xyz/examples/?regions.js</x:v>
      </x:c>
      <x:c r="P50" s="3" t="str">
        <x:v>Official region editor inspected in browser; sample audio waveform did not load during the session. Primitive capability rating is provisional.</x:v>
      </x:c>
      <x:c r="Q50" s="3" t="str">
        <x:v>Pre-decoded peaks/duration avoid decoding whole large audio files in the UI; long media otherwise risks memory pressure. v8 release includes playhead autoscroll fixes.</x:v>
      </x:c>
      <x:c r="R50" s="3" t="str">
        <x:v>A waveform player/region primitive, not a multitrack non-linear editor, compositor or encoder. CORS/media loading and audio/video clock sync need handling.</x:v>
      </x:c>
      <x:c r="S50" s="11" t="d">
        <x:v>2026-10-07T12:00:00.000Z</x:v>
      </x:c>
      <x:c r="T50" s="3" t="str">
        <x:v>8.0.2</x:v>
      </x:c>
      <x:c r="U50" s="11" t="str"/>
      <x:c r="V50" s="3" t="str">
        <x:v>pass: release inside 2026-04-17–2026-10-17</x:v>
      </x:c>
      <x:c r="W50" s="3" t="str">
        <x:v>pass</x:v>
      </x:c>
      <x:c r="X50" s="9" t="n">
        <x:v>10400</x:v>
      </x:c>
      <x:c r="Y50" s="11" t="d">
        <x:v>2026-10-17T12:00:00.000Z</x:v>
      </x:c>
      <x:c r="Z50" s="3" t="str">
        <x:v>Katspaugh and community</x:v>
      </x:c>
      <x:c r="AA50" s="3" t="str">
        <x:v>https://github.com/katspaugh/wavesurfer.js/blob/main/LICENSE</x:v>
      </x:c>
      <x:c r="AB50" s="3" t="str">
        <x:v>https://github.com/katspaugh/wavesurfer.js/releases/tag/8.0.2</x:v>
      </x:c>
      <x:c r="AC50" s="3" t="str">
        <x:v>https://wavesurfer.xyz/docs/; https://wavesurfer.xyz/examples/?regions.js; https://api.github.com/repos/katspaugh/wavesurfer.js; https://github.com/katspaugh/wavesurfer.js/blob/main/LICENSE</x:v>
      </x:c>
      <x:c r="AD50" s="3" t="str">
        <x:v>Editorial assessment of linked official output/docs; interaction and frame rate not benchmarked.</x:v>
      </x:c>
      <x:c r="AE50" s="3" t="str">
        <x:v>Use alongside a custom track model, transcript editor and WebCodecs/native/server media pipeline.</x:v>
      </x:c>
      <x:c r="AF50" s="11" t="d">
        <x:v>2026-10-17T12:00:00.000Z</x:v>
      </x:c>
      <x:c r="AG50" s="3" t="str">
        <x:v>Audio waveform</x:v>
      </x:c>
      <x:c r="AH50" s="22" t="n">
        <x:v>71</x:v>
      </x:c>
      <x:c r="AI50" s="23" t="n">
        <x:v>3</x:v>
      </x:c>
      <x:c r="AJ50" s="23" t="n">
        <x:v>5</x:v>
      </x:c>
      <x:c r="AK50" s="23" t="n">
        <x:v>2</x:v>
      </x:c>
      <x:c r="AL50" s="23" t="n">
        <x:v>4</x:v>
      </x:c>
      <x:c r="AM50" s="23" t="n">
        <x:v>3</x:v>
      </x:c>
      <x:c r="AN50" s="23" t="n">
        <x:v>5</x:v>
      </x:c>
      <x:c r="AO50" s="23" t="n">
        <x:v>4</x:v>
      </x:c>
      <x:c r="AP50" s="23" t="n">
        <x:v>3</x:v>
      </x:c>
      <x:c r="AQ50" s="3" t="str">
        <x:v>medium</x:v>
      </x:c>
      <x:c r="AR50" s="3" t="str">
        <x:v>Use for audio waveform display, regions and seek/selection interaction within a media tool.</x:v>
      </x:c>
      <x:c r="AS50" s="3" t="str">
        <x:v>It is not a frame-accurate multitrack video editing/export engine.</x:v>
      </x:c>
      <x:c r="AT50" s="3" t="str">
        <x:v>OpenReel Video (MIT application)</x:v>
      </x:c>
      <x:c r="AU50" s="3" t="str">
        <x:v>https://wavesurfer.xyz/docs/</x:v>
      </x:c>
      <x:c r="AV50" s="3" t="str">
        <x:v>Integration documentation; this link is guidance, not an additional live demonstration.</x:v>
      </x:c>
      <x:c r="AW50" s="3" t="str">
        <x:v>provisional</x:v>
      </x:c>
      <x:c r="AX50" s="3" t="str">
        <x:v>qualified_named_core_scope</x:v>
      </x:c>
    </x:row>
    <x:row r="51" ht="72" hidden="0" customHeight="1">
      <x:c r="A51" s="8" t="str">
        <x:v>openreel-video</x:v>
      </x:c>
      <x:c r="B51" s="8" t="str">
        <x:v>OpenReel Video (MIT application)</x:v>
      </x:c>
      <x:c r="C51" s="8" t="str">
        <x:v>watch</x:v>
      </x:c>
      <x:c r="D51" s="8" t="str">
        <x:v>Canvas and collaboration</x:v>
      </x:c>
      <x:c r="E51" s="8" t="str">
        <x:v>B1; B3; C5; D4; E2; E3</x:v>
      </x:c>
      <x:c r="F51" s="8" t="str">
        <x:v>video_timelines; ai_agents</x:v>
      </x:c>
      <x:c r="G51" s="8" t="str">
        <x:v>A complete modern timeline/editor reference with multitrack controls, captions and reversible AI editing.</x:v>
      </x:c>
      <x:c r="H51" s="8" t="str">
        <x:v>MIT application source; MediaBunny MPL-2.0 and FFmpeg binary licences are separate</x:v>
      </x:c>
      <x:c r="I51" s="8" t="str">
        <x:v>permissive</x:v>
      </x:c>
      <x:c r="J51" s="8" t="str">
        <x:v>https://github.com/Augani/openreel-video</x:v>
      </x:c>
      <x:c r="K51" s="8" t="str">
        <x:v>https://github.com/Augani/openreel-video/blob/main/README.md</x:v>
      </x:c>
      <x:c r="L51" s="8" t="str">
        <x:v>React source is useful for adaptation, but this is a complete application, not a drop-in Next component. Isolate browser media/GPU code in client-only modules.</x:v>
      </x:c>
      <x:c r="M51" s="8" t="str">
        <x:v>React, TypeScript, Zustand, Tailwind, MediaBunny, WebCodecs, WebGPU, Web Audio; native desktop integrations</x:v>
      </x:c>
      <x:c r="N51" s="10" t="n">
        <x:v>4</x:v>
      </x:c>
      <x:c r="O51" s="8" t="str">
        <x:v>https://app.openreel.video/#/editor</x:v>
      </x:c>
      <x:c r="P51" s="8" t="str">
        <x:v>Live empty editor inspected: onboarding, tool rail, resizable media/preview/inspector panels, timecode controls, track-size and snapping controls. No media was imported or export measured.</x:v>
      </x:c>
      <x:c r="Q51" s="8" t="str">
        <x:v>Browser WebCodecs/WebGPU architecture can keep media processing local; browser codec support, memory and GPU constrain practical projects. No 4K/smoothness claim independently verified.</x:v>
      </x:c>
      <x:c r="R51" s="8" t="str">
        <x:v>Desktop alpha and complex application architecture. Root dependencies include @ffmpeg/core and @ffmpeg/core-mt 0.12.6; do not inherit MIT to codec binaries. Review exact distribution/build and keep optional AI provider traffic distinct from local editing. No full media playback/export validation run. Second-pass correction: mediabunny is MPL-2.0 file-level copyleft. UI source MIT does not relicense this dependency or the FFmpeg cores.</x:v>
      </x:c>
      <x:c r="S51" s="12" t="d">
        <x:v>2026-08-29T12:00:00.000Z</x:v>
      </x:c>
      <x:c r="T51" s="8" t="str">
        <x:v>v1.0.0-alpha.17 (desktop prerelease)</x:v>
      </x:c>
      <x:c r="U51" s="12" t="d">
        <x:v>2026-10-17T12:00:00.000Z</x:v>
      </x:c>
      <x:c r="V51" s="8" t="str">
        <x:v>Meaningful editor/audio/export update on 2026-10-17; earlier browser performance feature update on 2026-10-03.</x:v>
      </x:c>
      <x:c r="W51" s="8" t="str">
        <x:v>pass</x:v>
      </x:c>
      <x:c r="X51" s="10" t="n">
        <x:v>5400</x:v>
      </x:c>
      <x:c r="Y51" s="12" t="d">
        <x:v>2026-10-17T12:00:00.000Z</x:v>
      </x:c>
      <x:c r="Z51" s="8" t="str">
        <x:v>Augustus Otu and contributors; independent, sponsor-supported</x:v>
      </x:c>
      <x:c r="AA51" s="8" t="str">
        <x:v>https://github.com/Augani/openreel-video/blob/main/LICENSE</x:v>
      </x:c>
      <x:c r="AB51" s="8" t="str">
        <x:v>https://github.com/Augani/openreel-video/commit/367d7e90b61b5181f9861b852bb8b9d7a7d2954a; https://github.com/Augani/openreel-video/releases/tag/v1.0.0-alpha.17</x:v>
      </x:c>
      <x:c r="AC51" s="8" t="str">
        <x:v>https://api.github.com/repos/Augani/openreel-video; https://github.com/Augani/openreel-video/blob/main/LICENSE; https://github.com/Augani/openreel-video/blob/main/package.json; https://github.com/Augani/openreel-video/blob/main/README.md; https://github.com/Augani/openreel-video/blob/main/docs/ai-editing.md; https://openreel.video/; https://app.openreel.video/#/editor; https://github.com/Vanilagy/mediabunny/blob/main/LICENSE</x:v>
      </x:c>
      <x:c r="AD51" s="8" t="str">
        <x:v>Official homepage/demo also visually inspected live on 2026-10-17; no interaction or frame-rate benchmark.</x:v>
      </x:c>
      <x:c r="AE51" s="8" t="str">
        <x:v>Useful newer full-editor candidate that narrows the D4 gap; maturity, codec distribution and measured seek/export performance remain unproven. Source UI reuse and packaged media engine have different licence scopes.</x:v>
      </x:c>
      <x:c r="AF51" s="12" t="d">
        <x:v>2026-10-17T12:00:00.000Z</x:v>
      </x:c>
      <x:c r="AG51" s="3" t="str">
        <x:v>Media editor application</x:v>
      </x:c>
      <x:c r="AH51" s="22" t="n">
        <x:v>64</x:v>
      </x:c>
      <x:c r="AI51" s="23" t="n">
        <x:v>4</x:v>
      </x:c>
      <x:c r="AJ51" s="23" t="n">
        <x:v>5</x:v>
      </x:c>
      <x:c r="AK51" s="23" t="n">
        <x:v>2</x:v>
      </x:c>
      <x:c r="AL51" s="23" t="n">
        <x:v>3</x:v>
      </x:c>
      <x:c r="AM51" s="23" t="n">
        <x:v>3</x:v>
      </x:c>
      <x:c r="AN51" s="23" t="n">
        <x:v>3</x:v>
      </x:c>
      <x:c r="AO51" s="23" t="n">
        <x:v>2</x:v>
      </x:c>
      <x:c r="AP51" s="23" t="n">
        <x:v>1</x:v>
      </x:c>
      <x:c r="AQ51" s="3" t="str">
        <x:v>high</x:v>
      </x:c>
      <x:c r="AR51" s="3" t="str">
        <x:v>Study or adapt the complete editor when its timeline, panels and reversible AI workflow match the brief.</x:v>
      </x:c>
      <x:c r="AS51" s="3" t="str">
        <x:v>Treat as a watch candidate; review MediaBunny MPL and exact FFmpeg binaries before distribution.</x:v>
      </x:c>
      <x:c r="AT51" s="3" t="str">
        <x:v>wavesurfer.js; Konva</x:v>
      </x:c>
      <x:c r="AU51" s="3" t="str">
        <x:v>https://github.com/Augani/openreel-video/blob/main/README.md</x:v>
      </x:c>
      <x:c r="AV51" s="3" t="str">
        <x:v>Integration documentation; this link is guidance, not an additional live demonstration.</x:v>
      </x:c>
      <x:c r="AW51" s="3" t="str">
        <x:v>provisional</x:v>
      </x:c>
      <x:c r="AX51" s="3" t="str">
        <x:v>dependency_scope_review</x:v>
      </x:c>
    </x:row>
    <x:row r="52" ht="72" hidden="0" customHeight="1">
      <x:c r="A52" s="3" t="str">
        <x:v>nuqs</x:v>
      </x:c>
      <x:c r="B52" s="3" t="str">
        <x:v>nuqs</x:v>
      </x:c>
      <x:c r="C52" s="3" t="str">
        <x:v>core</x:v>
      </x:c>
      <x:c r="D52" s="3" t="str">
        <x:v>Component libraries and UI kits</x:v>
      </x:c>
      <x:c r="E52" s="3" t="str">
        <x:v>A6; B1; B7; C2</x:v>
      </x:c>
      <x:c r="F52" s="3" t="str">
        <x:v>kpi_dashboards; realtime_trading; live_maps; network_graphs; ai_agents</x:v>
      </x:c>
      <x:c r="G52" s="3" t="str">
        <x:v>Typed, shareable URL state for filters, pagination, tabs and reproducible dashboard views.</x:v>
      </x:c>
      <x:c r="H52" s="3" t="str">
        <x:v>MIT</x:v>
      </x:c>
      <x:c r="I52" s="3" t="str">
        <x:v>permissive</x:v>
      </x:c>
      <x:c r="J52" s="3" t="str">
        <x:v>https://github.com/47ng/nuqs</x:v>
      </x:c>
      <x:c r="K52" s="3" t="str">
        <x:v>https://nuqs.dev/docs</x:v>
      </x:c>
      <x:c r="L52" s="3" t="str">
        <x:v>Excellent Next/React fit; use the matching router adapter and share parsers between server loaders and client controls.</x:v>
      </x:c>
      <x:c r="M52" s="3" t="str">
        <x:v>TypeScript; React; Next.js/React Router/Remix/TanStack Router adapters</x:v>
      </x:c>
      <x:c r="N52" s="3" t="str"/>
      <x:c r="O52" s="3" t="str">
        <x:v>https://nuqs.dev/playground/pagination</x:v>
      </x:c>
      <x:c r="P52" s="3" t="str">
        <x:v>Nonvisual state infrastructure; official pagination, batching and Back/Forward demos document behaviour. No intrinsic visual score.</x:v>
      </x:c>
      <x:c r="Q52" s="3" t="str">
        <x:v>Hook state changes immediately while URL writes are throttled/batched; opt into server refresh deliberately. Debounce server queries separately from local UI responsiveness.</x:v>
      </x:c>
      <x:c r="R52" s="3" t="str">
        <x:v>URL size, History API rate limits and parsing defaults are product constraints. Never put sensitive/private state in a shareable URL. Not an async cache, search backend or permission mechanism.</x:v>
      </x:c>
      <x:c r="S52" s="11" t="d">
        <x:v>2026-10-08T12:00:00.000Z</x:v>
      </x:c>
      <x:c r="T52" s="3" t="str">
        <x:v>v2.10.2</x:v>
      </x:c>
      <x:c r="U52" s="11" t="d">
        <x:v>2026-10-13T12:00:00.000Z</x:v>
      </x:c>
      <x:c r="V52" s="3" t="str">
        <x:v>verified_active_within_6_months; 2026-10-17 evidence snapshot</x:v>
      </x:c>
      <x:c r="W52" s="3" t="str">
        <x:v>pass</x:v>
      </x:c>
      <x:c r="X52" s="3" t="n">
        <x:v>10900</x:v>
      </x:c>
      <x:c r="Y52" s="11" t="d">
        <x:v>2026-10-17T12:00:00.000Z</x:v>
      </x:c>
      <x:c r="Z52" s="3" t="str">
        <x:v>François Best; sponsor-supported open source</x:v>
      </x:c>
      <x:c r="AA52" s="3" t="str">
        <x:v>https://github.com/47ng/nuqs/blob/next/LICENSE</x:v>
      </x:c>
      <x:c r="AB52" s="3" t="str">
        <x:v>https://github.com/47ng/nuqs/releases/tag/v2.10.2; https://github.com/47ng/nuqs/commit/07afd0f21219e231b016da37b4246a0df1be6d68</x:v>
      </x:c>
      <x:c r="AC52" s="3" t="str">
        <x:v>https://api.github.com/repos/47ng/nuqs; https://github.com/47ng/nuqs/blob/next/LICENSE; https://nuqs.dev/docs; https://nuqs.dev/playground/pagination</x:v>
      </x:c>
      <x:c r="AD52" s="3" t="str">
        <x:v>Nonvisual infrastructure; N/A.</x:v>
      </x:c>
      <x:c r="AE52" s="3" t="str">
        <x:v>Use when: filtered views must survive refresh, copy/paste and browser Back/Forward. Avoid when: state is transient pointer/animation state, private, or too large for a URL. alternative_ids: tanstack_query (complementary async cache), tanstack_table (table state), base_ui (controls); these do not replace URL serialization. Implementation effort: low–medium; define typed parsers, reset/history policy and router adapter. Evidence snapshot: GitHub metadata collected 2026-10-17; compiled into this second pass on 2026-10-18.</x:v>
      </x:c>
      <x:c r="AF52" s="11" t="d">
        <x:v>2026-10-18T12:00:00.000Z</x:v>
      </x:c>
      <x:c r="AG52" s="3" t="str">
        <x:v>URL state</x:v>
      </x:c>
      <x:c r="AH52" s="22" t="n">
        <x:v>89.2</x:v>
      </x:c>
      <x:c r="AI52" s="23"/>
      <x:c r="AJ52" s="23" t="n">
        <x:v>4</x:v>
      </x:c>
      <x:c r="AK52" s="23"/>
      <x:c r="AL52" s="23" t="n">
        <x:v>4</x:v>
      </x:c>
      <x:c r="AM52" s="23" t="n">
        <x:v>5</x:v>
      </x:c>
      <x:c r="AN52" s="23" t="n">
        <x:v>5</x:v>
      </x:c>
      <x:c r="AO52" s="23" t="n">
        <x:v>4</x:v>
      </x:c>
      <x:c r="AP52" s="23" t="n">
        <x:v>5</x:v>
      </x:c>
      <x:c r="AQ52" s="3" t="str">
        <x:v>low</x:v>
      </x:c>
      <x:c r="AR52" s="3" t="str">
        <x:v>Use when dashboard filters, tabs and search state should be typed, shareable and restored from the URL.</x:v>
      </x:c>
      <x:c r="AS52" s="3" t="str">
        <x:v>It does not replace server data caching, a full search backend or complex form validation.</x:v>
      </x:c>
      <x:c r="AT52" s="3" t="str">
        <x:v>TanStack Query</x:v>
      </x:c>
      <x:c r="AU52" s="3" t="str">
        <x:v>https://nuqs.dev/playground</x:v>
      </x:c>
      <x:c r="AV52" s="3" t="str">
        <x:v>Tic Tac Toe stores moves in the URL so browser Back/Forward undo/redo them.</x:v>
      </x:c>
      <x:c r="AW52" s="3" t="str">
        <x:v>documented</x:v>
      </x:c>
      <x:c r="AX52" s="3" t="str">
        <x:v>qualified_named_core_scope</x:v>
      </x:c>
    </x:row>
    <x:row r="53" ht="84" hidden="0" customHeight="1">
      <x:c r="A53" s="3" t="str">
        <x:v>ark_ui</x:v>
      </x:c>
      <x:c r="B53" s="3" t="str">
        <x:v>Ark UI</x:v>
      </x:c>
      <x:c r="C53" s="3" t="str">
        <x:v>situational</x:v>
      </x:c>
      <x:c r="D53" s="3" t="str">
        <x:v>Component libraries and UI kits</x:v>
      </x:c>
      <x:c r="E53" s="3" t="str">
        <x:v>A6; A7; B1; B4; B5; B7; B9</x:v>
      </x:c>
      <x:c r="F53" s="3" t="str">
        <x:v>simple_charts; kpi_dashboards; realtime_trading; live_maps; product_configurators; multiplayer_whiteboards; video_timelines; network_graphs; ai_agents; landing_pages</x:v>
      </x:c>
      <x:c r="G53" s="3" t="str">
        <x:v>State-machine-backed headless controls with comparable React, Vue, Solid and Svelte APIs, including advanced tree/file interactions.</x:v>
      </x:c>
      <x:c r="H53" s="3" t="str">
        <x:v>MIT</x:v>
      </x:c>
      <x:c r="I53" s="3" t="str">
        <x:v>permissive</x:v>
      </x:c>
      <x:c r="J53" s="3" t="str">
        <x:v>https://github.com/chakra-ui/ark</x:v>
      </x:c>
      <x:c r="K53" s="3" t="str">
        <x:v>https://ark-ui.com/docs/components/tree-view</x:v>
      </x:c>
      <x:c r="L53" s="3" t="str">
        <x:v>Excellent React package; client boundaries for interactive controls. Styling is independent and can use Tailwind, CSS modules or Panda.</x:v>
      </x:c>
      <x:c r="M53" s="3" t="str">
        <x:v>TypeScript; Zag.js state machines; React/Vue/Solid/Svelte</x:v>
      </x:c>
      <x:c r="N53" s="3" t="n">
        <x:v>4</x:v>
      </x:c>
      <x:c r="O53" s="3" t="str">
        <x:v>https://ark-ui.com/docs/components/tree-view</x:v>
      </x:c>
      <x:c r="P53" s="3" t="str">
        <x:v>Provisional editorial potential from official Tree View/File Upload examples and showcase; no live visual/interaction review completed in this pass.</x:v>
      </x:c>
      <x:c r="Q53" s="3" t="str">
        <x:v>Tree docs provide lazy loading/mounting and virtualised traversal hooks. They still require deliberate visible-node calculation, scroll integration and keyboard handling.</x:v>
      </x:c>
      <x:c r="R53" s="3" t="str">
        <x:v>Headless output needs a coherent theme. Several newer components are explicitly previews. v6 prerelease exists; pin stable React v5.39.3 for a conservative baseline. Do not inherit Park UI maintenance or paid Ark Plus assets.</x:v>
      </x:c>
      <x:c r="S53" s="11" t="d">
        <x:v>2026-10-05T12:00:00.000Z</x:v>
      </x:c>
      <x:c r="T53" s="3" t="str">
        <x:v>@ark-ui/react@5.39.3</x:v>
      </x:c>
      <x:c r="U53" s="11" t="d">
        <x:v>2026-10-16T12:00:00.000Z</x:v>
      </x:c>
      <x:c r="V53" s="3" t="str">
        <x:v>verified_active_within_6_months; 2026-10-17 evidence snapshot</x:v>
      </x:c>
      <x:c r="W53" s="3" t="str">
        <x:v>pass</x:v>
      </x:c>
      <x:c r="X53" s="3" t="n">
        <x:v>5400</x:v>
      </x:c>
      <x:c r="Y53" s="11" t="d">
        <x:v>2026-10-17T12:00:00.000Z</x:v>
      </x:c>
      <x:c r="Z53" s="3" t="str">
        <x:v>Chakra UI team and sponsors</x:v>
      </x:c>
      <x:c r="AA53" s="3" t="str">
        <x:v>https://github.com/chakra-ui/ark/blob/main/LICENSE</x:v>
      </x:c>
      <x:c r="AB53" s="3" t="str">
        <x:v>https://github.com/chakra-ui/ark/releases/tag/%40ark-ui/react%405.39.3; https://github.com/chakra-ui/ark/commit/5d6dfcc64685d29eea6992fc0e484901da50baf0</x:v>
      </x:c>
      <x:c r="AC53" s="3" t="str">
        <x:v>https://api.github.com/repos/chakra-ui/ark; https://github.com/chakra-ui/ark/blob/main/LICENSE; https://ark-ui.com/docs/components/tree-view</x:v>
      </x:c>
      <x:c r="AD53" s="3" t="str">
        <x:v>Official sources reviewed; no completed live visual or interaction benchmark.</x:v>
      </x:c>
      <x:c r="AE53" s="3" t="str">
        <x:v>Use when: the generator needs one behaviour vocabulary across multiple frameworks or specialised tree/file controls. Avoid when: a React-only project already has a coherent Base UI/React Aria implementation with no missing widget. alternative_ids: base_ui, react_aria, radix_primitives, mantine. Implementation effort: medium–high; choose a styling/recipe layer and validate composite keyboard behaviour. Zag powers Ark; catalogue them as layers, not independent equivalent UI kits. GitHub snapshot 2026-10-17; stable and prerelease tags re-read during compilation 2026-10-18.</x:v>
      </x:c>
      <x:c r="AF53" s="11" t="d">
        <x:v>2026-10-18T12:00:00.000Z</x:v>
      </x:c>
      <x:c r="AG53" s="3" t="str">
        <x:v>Accessible primitives</x:v>
      </x:c>
      <x:c r="AH53" s="22" t="n">
        <x:v>87</x:v>
      </x:c>
      <x:c r="AI53" s="23" t="n">
        <x:v>4</x:v>
      </x:c>
      <x:c r="AJ53" s="23" t="n">
        <x:v>5</x:v>
      </x:c>
      <x:c r="AK53" s="23" t="n">
        <x:v>4</x:v>
      </x:c>
      <x:c r="AL53" s="23" t="n">
        <x:v>4</x:v>
      </x:c>
      <x:c r="AM53" s="23" t="n">
        <x:v>5</x:v>
      </x:c>
      <x:c r="AN53" s="23" t="n">
        <x:v>5</x:v>
      </x:c>
      <x:c r="AO53" s="23" t="n">
        <x:v>4</x:v>
      </x:c>
      <x:c r="AP53" s="23" t="n">
        <x:v>3</x:v>
      </x:c>
      <x:c r="AQ53" s="3" t="str">
        <x:v>medium</x:v>
      </x:c>
      <x:c r="AR53" s="3" t="str">
        <x:v>Choose state-machine-based headless controls across React or other supported frameworks.</x:v>
      </x:c>
      <x:c r="AS53" s="3" t="str">
        <x:v>Style and test focus behaviour in your actual composition; choose one primitive model for each control.</x:v>
      </x:c>
      <x:c r="AT53" s="3" t="str">
        <x:v>Base UI; React Aria Components; Radix Primitives</x:v>
      </x:c>
      <x:c r="AU53" s="3" t="str">
        <x:v>https://ark-ui.com/docs/components/file-upload</x:v>
      </x:c>
      <x:c r="AV53" s="3" t="str">
        <x:v>File selection/drop surface, accepted-file list and removal controls.</x:v>
      </x:c>
      <x:c r="AW53" s="3" t="str">
        <x:v>provisional</x:v>
      </x:c>
      <x:c r="AX53" s="3" t="str">
        <x:v>qualified_named_core_scope</x:v>
      </x:c>
    </x:row>
    <x:row r="54" ht="72" hidden="0" customHeight="1">
      <x:c r="A54" s="3" t="str">
        <x:v>react_querybuilder</x:v>
      </x:c>
      <x:c r="B54" s="3" t="str">
        <x:v>React Query Builder</x:v>
      </x:c>
      <x:c r="C54" s="3" t="str">
        <x:v>situational</x:v>
      </x:c>
      <x:c r="D54" s="3" t="str">
        <x:v>Component libraries and UI kits</x:v>
      </x:c>
      <x:c r="E54" s="3" t="str">
        <x:v>B7; C2</x:v>
      </x:c>
      <x:c r="F54" s="3" t="str">
        <x:v>kpi_dashboards; realtime_trading; live_maps; network_graphs; ai_agents</x:v>
      </x:c>
      <x:c r="G54" s="3" t="str">
        <x:v>Editable nested AND/OR filter rules with typed field/value controls and exportable query structures.</x:v>
      </x:c>
      <x:c r="H54" s="3" t="str">
        <x:v>MIT</x:v>
      </x:c>
      <x:c r="I54" s="3" t="str">
        <x:v>permissive</x:v>
      </x:c>
      <x:c r="J54" s="3" t="str">
        <x:v>https://github.com/react-querybuilder/react-querybuilder</x:v>
      </x:c>
      <x:c r="K54" s="3" t="str">
        <x:v>https://react-querybuilder.js.org/docs/compat</x:v>
      </x:c>
      <x:c r="L54" s="3" t="str">
        <x:v>Excellent React fit; interactive client component in Next. Official shadcn registry or Mantine-compatible controls can match the app shell.</x:v>
      </x:c>
      <x:c r="M54" s="3" t="str">
        <x:v>React/TypeScript; headless/core helpers; UI compatibility packages and shadcn registry</x:v>
      </x:c>
      <x:c r="N54" s="3" t="n">
        <x:v>3</x:v>
      </x:c>
      <x:c r="O54" s="3" t="str">
        <x:v>https://react-querybuilder.js.org/demo</x:v>
      </x:c>
      <x:c r="P54" s="3" t="str">
        <x:v>Functional builder examples and shadcn compatibility source reviewed; styling-dependent rather than a standalone premium visual system. Live demo did not render in the text browser.</x:v>
      </x:c>
      <x:c r="Q54" s="3" t="str">
        <x:v>Bound nesting/field choice complexity; use controlled state carefully and debounce expensive remote previews. The builder constructs rules, not a large-dataset query engine.</x:v>
      </x:c>
      <x:c r="R54" s="3" t="str">
        <x:v>Default controls need styling and usability constraints for nonexpert users. Exported SQL/JSON is not authorization or a safely executable backend query by itself. Validate allowed fields/operators server-side.</x:v>
      </x:c>
      <x:c r="S54" s="11" t="d">
        <x:v>2026-10-12T12:00:00.000Z</x:v>
      </x:c>
      <x:c r="T54" s="3" t="str">
        <x:v>v8.25.0</x:v>
      </x:c>
      <x:c r="U54" s="11" t="d">
        <x:v>2026-10-16T12:00:00.000Z</x:v>
      </x:c>
      <x:c r="V54" s="3" t="str">
        <x:v>verified_active_within_6_months; 2026-10-17 evidence snapshot</x:v>
      </x:c>
      <x:c r="W54" s="3" t="str">
        <x:v>pass</x:v>
      </x:c>
      <x:c r="X54" s="3" t="n">
        <x:v>1700</x:v>
      </x:c>
      <x:c r="Y54" s="11" t="d">
        <x:v>2026-10-17T12:00:00.000Z</x:v>
      </x:c>
      <x:c r="Z54" s="3" t="str">
        <x:v>React Query Builder maintainers; community and sponsors</x:v>
      </x:c>
      <x:c r="AA54" s="3" t="str">
        <x:v>https://github.com/react-querybuilder/react-querybuilder/blob/main/LICENSE.md</x:v>
      </x:c>
      <x:c r="AB54" s="3" t="str">
        <x:v>https://github.com/react-querybuilder/react-querybuilder/releases/tag/v8.25.0; https://github.com/react-querybuilder/react-querybuilder/commit/fe886f7e30984aebbe621ccc2e438359653d5dbc</x:v>
      </x:c>
      <x:c r="AC54" s="3" t="str">
        <x:v>https://api.github.com/repos/react-querybuilder/react-querybuilder; https://github.com/react-querybuilder/react-querybuilder/blob/main/LICENSE.md; https://react-querybuilder.js.org/demo; https://react-querybuilder.js.org/docs/compat</x:v>
      </x:c>
      <x:c r="AD54" s="3" t="str">
        <x:v>Official sources reviewed; no completed live visual or interaction benchmark.</x:v>
      </x:c>
      <x:c r="AE54" s="3" t="str">
        <x:v>Use when: users need grouped conditions beyond filter chips, saved segments or an inspectable structured alternative to natural-language filters. Avoid when: a small fixed filter bar is enough. alternative_ids: tanstack_table, base_ui, react_aria for simpler filtering; nuqs for shareable state. Implementation effort: medium; define field/operator schema, value editors, nesting limits, validation and query translation. Current shadcn integration is a registry, not an npm compatibility package. Evidence snapshot 2026-10-17; registry/changelog verification completed 2026-10-18.</x:v>
      </x:c>
      <x:c r="AF54" s="11" t="d">
        <x:v>2026-10-18T12:00:00.000Z</x:v>
      </x:c>
      <x:c r="AG54" s="3" t="str">
        <x:v>Filter builder</x:v>
      </x:c>
      <x:c r="AH54" s="22" t="n">
        <x:v>80</x:v>
      </x:c>
      <x:c r="AI54" s="23" t="n">
        <x:v>3</x:v>
      </x:c>
      <x:c r="AJ54" s="23" t="n">
        <x:v>5</x:v>
      </x:c>
      <x:c r="AK54" s="23" t="n">
        <x:v>3</x:v>
      </x:c>
      <x:c r="AL54" s="23" t="n">
        <x:v>4</x:v>
      </x:c>
      <x:c r="AM54" s="23" t="n">
        <x:v>5</x:v>
      </x:c>
      <x:c r="AN54" s="23" t="n">
        <x:v>5</x:v>
      </x:c>
      <x:c r="AO54" s="23" t="n">
        <x:v>4</x:v>
      </x:c>
      <x:c r="AP54" s="23" t="n">
        <x:v>3</x:v>
      </x:c>
      <x:c r="AQ54" s="3" t="str">
        <x:v>medium</x:v>
      </x:c>
      <x:c r="AR54" s="3" t="str">
        <x:v>Use when users compose explicit nested filters/rules that must map to a validated query model.</x:v>
      </x:c>
      <x:c r="AS54" s="3" t="str">
        <x:v>It does not supply search indexing or make generated database queries safe on its own.</x:v>
      </x:c>
      <x:c r="AT54" s="3" t="str">
        <x:v>TanStack Table; nuqs</x:v>
      </x:c>
      <x:c r="AU54" s="3" t="str">
        <x:v>https://react-querybuilder.js.org/docs/compat</x:v>
      </x:c>
      <x:c r="AV54" s="3" t="str">
        <x:v>shadcn registry and compatible UI controls render the same structured query.</x:v>
      </x:c>
      <x:c r="AW54" s="3" t="str">
        <x:v>documented</x:v>
      </x:c>
      <x:c r="AX54" s="3" t="str">
        <x:v>qualified_named_core_scope</x:v>
      </x:c>
    </x:row>
    <x:row r="55" ht="84" hidden="0" customHeight="1">
      <x:c r="A55" s="3" t="str">
        <x:v>novu_inbox</x:v>
      </x:c>
      <x:c r="B55" s="3" t="str">
        <x:v>Novu open-core Inbox</x:v>
      </x:c>
      <x:c r="C55" s="3" t="str">
        <x:v>situational</x:v>
      </x:c>
      <x:c r="D55" s="3" t="str">
        <x:v>Component libraries and UI kits</x:v>
      </x:c>
      <x:c r="E55" s="3" t="str">
        <x:v>B10</x:v>
      </x:c>
      <x:c r="F55" s="3" t="str">
        <x:v>kpi_dashboards; multiplayer_whiteboards; ai_agents</x:v>
      </x:c>
      <x:c r="G55" s="3" t="str">
        <x:v>A durable notification inbox with read/archive/snooze/preferences and multi-channel workflow infrastructure behind it.</x:v>
      </x:c>
      <x:c r="H55" s="3" t="str">
        <x:v>MIT community core; ISC SDK manifests; proprietary enterprise/EE excluded</x:v>
      </x:c>
      <x:c r="I55" s="3" t="str">
        <x:v>permissive</x:v>
      </x:c>
      <x:c r="J55" s="3" t="str">
        <x:v>https://github.com/novuhq/novu</x:v>
      </x:c>
      <x:c r="K55" s="3" t="str">
        <x:v>https://docs.novu.co/platform/inbox/overview</x:v>
      </x:c>
      <x:c r="L55" s="3" t="str">
        <x:v>Excellent prebuilt/headless React Inbox and Next.js SDK. Requires authenticated subscriber identity, a compatible Novu backend and explicit service configuration.</x:v>
      </x:c>
      <x:c r="M55" s="3" t="str">
        <x:v>TypeScript; React/JS/Next.js SDKs; self-hostable notification services and provider integrations</x:v>
      </x:c>
      <x:c r="N55" s="3" t="n">
        <x:v>4</x:v>
      </x:c>
      <x:c r="O55" s="3" t="str">
        <x:v>https://inbox.novu.co/</x:v>
      </x:c>
      <x:c r="P55" s="3" t="str">
        <x:v>Official inbox preview/playground and composition docs reviewed; live browser review was not completed. Rating covers the documented inbox skin, not all enterprise workflows.</x:v>
      </x:c>
      <x:c r="Q55" s="3" t="str">
        <x:v>Real-time unread/feed state and backend delivery separate UI from orchestration. Test feed pagination, burst grouping, reconnect and provider queue behaviour on the actual self-hosted build.</x:v>
      </x:c>
      <x:c r="R55" s="3" t="str">
        <x:v>Mixed-licence repository: MIT community core, ISC in React/JS/Framework package manifests, proprietary enterprise/EE code. Check exact package and deployment scope. Cloud quotas and provider messages can cost money; free hosted access is not the OSS licence. Subscriber authentication and backend operations remain work.</x:v>
      </x:c>
      <x:c r="S55" s="11" t="d">
        <x:v>2026-09-07T12:00:00.000Z</x:v>
      </x:c>
      <x:c r="T55" s="3" t="str">
        <x:v>@novu/react@v3.19.2</x:v>
      </x:c>
      <x:c r="U55" s="11" t="d">
        <x:v>2026-10-16T12:00:00.000Z</x:v>
      </x:c>
      <x:c r="V55" s="3" t="str">
        <x:v>verified_active_within_6_months; 2026-10-17 evidence snapshot</x:v>
      </x:c>
      <x:c r="W55" s="3" t="str">
        <x:v>pass</x:v>
      </x:c>
      <x:c r="X55" s="3" t="n">
        <x:v>40200</x:v>
      </x:c>
      <x:c r="Y55" s="11" t="d">
        <x:v>2026-10-17T12:00:00.000Z</x:v>
      </x:c>
      <x:c r="Z55" s="3" t="str">
        <x:v>Novu Corporation</x:v>
      </x:c>
      <x:c r="AA55" s="3" t="str">
        <x:v>https://github.com/novuhq/novu/blob/next/LICENSE-MIT</x:v>
      </x:c>
      <x:c r="AB55" s="3" t="str">
        <x:v>https://github.com/novuhq/novu/releases/tag/%40novu/react%40v3.19.2; https://github.com/novuhq/novu/commit/e433a078f71e6636f0a14e8360feb444d8dd6f7d</x:v>
      </x:c>
      <x:c r="AC55" s="3" t="str">
        <x:v>https://api.github.com/repos/novuhq/novu; https://github.com/novuhq/novu/blob/next/LICENSE-MIT; https://docs.novu.co/platform/inbox/overview; https://inbox.novu.co/; https://github.com/novuhq/novu/blob/next/README.md; https://github.com/novuhq/novu/blob/next/packages/react/package.json; https://github.com/novuhq/novu/blob/next/EE-PACKAGES-LICENSE</x:v>
      </x:c>
      <x:c r="AD55" s="3" t="str">
        <x:v>Official sources reviewed; no completed live visual or interaction benchmark.</x:v>
      </x:c>
      <x:c r="AE55" s="3" t="str">
        <x:v>Use when: the app needs persistent notifications, user preferences and delivery orchestration; it closes the prior B10 backend/inbox shortlist gap. Avoid when: a transient toast alone suffices or the team cannot operate a backend. alternative_ids: sonner, base_ui, mantine (transient UI only). Implementation effort: high for self-hosted delivery; medium for an existing configured service. Verify HMAC/subscriber identity and edition boundaries before implementation. GitHub SDK/release snapshot 2026-10-17; current docs/edition scope checked during 2026-10-18 compilation.</x:v>
      </x:c>
      <x:c r="AF55" s="11" t="d">
        <x:v>2026-10-18T12:00:00.000Z</x:v>
      </x:c>
      <x:c r="AG55" s="3" t="str">
        <x:v>Notification inbox</x:v>
      </x:c>
      <x:c r="AH55" s="22" t="n">
        <x:v>83</x:v>
      </x:c>
      <x:c r="AI55" s="23" t="n">
        <x:v>4</x:v>
      </x:c>
      <x:c r="AJ55" s="23" t="n">
        <x:v>5</x:v>
      </x:c>
      <x:c r="AK55" s="23" t="n">
        <x:v>3</x:v>
      </x:c>
      <x:c r="AL55" s="23" t="n">
        <x:v>4</x:v>
      </x:c>
      <x:c r="AM55" s="23" t="n">
        <x:v>5</x:v>
      </x:c>
      <x:c r="AN55" s="23" t="n">
        <x:v>5</x:v>
      </x:c>
      <x:c r="AO55" s="23" t="n">
        <x:v>4</x:v>
      </x:c>
      <x:c r="AP55" s="23" t="n">
        <x:v>2</x:v>
      </x:c>
      <x:c r="AQ55" s="3" t="str">
        <x:v>high</x:v>
      </x:c>
      <x:c r="AR55" s="3" t="str">
        <x:v>Choose an embeddable durable inbox and notification preference/workflow system.</x:v>
      </x:c>
      <x:c r="AS55" s="3" t="str">
        <x:v>It brings backend/operational ownership; keep Enterprise packages and paid delivery services outside the MIT assumption.</x:v>
      </x:c>
      <x:c r="AT55" s="3" t="str">
        <x:v>Sonner</x:v>
      </x:c>
      <x:c r="AU55" s="3" t="str">
        <x:v>https://novu.co/inbox/</x:v>
      </x:c>
      <x:c r="AV55" s="3" t="str">
        <x:v>Compare the documented Linear/Notion-style light/dark notification skins.</x:v>
      </x:c>
      <x:c r="AW55" s="3" t="str">
        <x:v>documented</x:v>
      </x:c>
      <x:c r="AX55" s="3" t="str">
        <x:v>qualified_named_core_scope</x:v>
      </x:c>
    </x:row>
    <x:row r="56" ht="72" hidden="0" customHeight="1">
      <x:c r="A56" s="3" t="str">
        <x:v>kokonut_ui</x:v>
      </x:c>
      <x:c r="B56" s="3" t="str">
        <x:v>Kokonut UI (free components)</x:v>
      </x:c>
      <x:c r="C56" s="3" t="str">
        <x:v>watch</x:v>
      </x:c>
      <x:c r="D56" s="3" t="str">
        <x:v>Component libraries and UI kits</x:v>
      </x:c>
      <x:c r="E56" s="3" t="str">
        <x:v>A5; A6; C2; D4; E3; E4; F1</x:v>
      </x:c>
      <x:c r="F56" s="3" t="str">
        <x:v>kpi_dashboards; landing_pages; video_timelines; ai_agents</x:v>
      </x:c>
      <x:c r="G56" s="3" t="str">
        <x:v>Ownable small interaction examples: animated metrics, tool approval/diff cards and focused media controls.</x:v>
      </x:c>
      <x:c r="H56" s="3" t="str">
        <x:v>MIT</x:v>
      </x:c>
      <x:c r="I56" s="3" t="str">
        <x:v>permissive</x:v>
      </x:c>
      <x:c r="J56" s="3" t="str">
        <x:v>https://github.com/kokonut-labs/kokonutui</x:v>
      </x:c>
      <x:c r="K56" s="3" t="str">
        <x:v>https://kokonutui.com/docs</x:v>
      </x:c>
      <x:c r="L56" s="3" t="str">
        <x:v>Excellent source-copy fit for React/Next/Tailwind; interactive pieces use client boundaries and chosen per-component dependencies.</x:v>
      </x:c>
      <x:c r="M56" s="3" t="str">
        <x:v>React/TypeScript; Tailwind CSS; Motion; shadcn component registry</x:v>
      </x:c>
      <x:c r="N56" s="3" t="n">
        <x:v>4</x:v>
      </x:c>
      <x:c r="O56" s="3" t="str">
        <x:v>https://kokonutui.com/docs/ai/ai-diff-review</x:v>
      </x:c>
      <x:c r="P56" s="3" t="str">
        <x:v>Provisional editorial potential from the current official catalogue, registry and named examples. Browser visual review was blocked by account usage review; no fluidity/keyboard claim independently verified.</x:v>
      </x:c>
      <x:c r="Q56" s="3" t="str">
        <x:v>Install a small number of relevant components and audit event/animation frequency. Coalesce metric updates and disable offscreen/decorative work; particle/glass gimmicks need separate profiling.</x:v>
      </x:c>
      <x:c r="R56" s="3" t="str">
        <x:v>Free public source is MIT; Pro templates/sections are excluded. This is not a full accessible app system or agent runtime. Approval/citation cards only present supplied state; server authorization and evidence validation are external. Newer components need integration/keyboard/reduced-motion review.</x:v>
      </x:c>
      <x:c r="S56" s="11" t="str"/>
      <x:c r="T56" s="3" t="str"/>
      <x:c r="U56" s="11" t="d">
        <x:v>2026-10-17T12:00:00.000Z</x:v>
      </x:c>
      <x:c r="V56" s="3" t="str">
        <x:v>verified_active_within_6_months; 2026-10-17 evidence snapshot</x:v>
      </x:c>
      <x:c r="W56" s="3" t="str">
        <x:v>pass</x:v>
      </x:c>
      <x:c r="X56" s="3" t="n">
        <x:v>2200</x:v>
      </x:c>
      <x:c r="Y56" s="11" t="d">
        <x:v>2026-10-17T12:00:00.000Z</x:v>
      </x:c>
      <x:c r="Z56" s="3" t="str">
        <x:v>Dorian Baffier / Kokonut Labs; Vercel OSS 2025 sponsor support</x:v>
      </x:c>
      <x:c r="AA56" s="3" t="str">
        <x:v>https://github.com/kokonut-labs/kokonutui/blob/main/LICENSE</x:v>
      </x:c>
      <x:c r="AB56" s="3" t="str">
        <x:v>https://github.com/kokonut-labs/kokonutui/commit/a5dd0dc2cf7afa4d94b16dc51dc2f92bb5cd8031</x:v>
      </x:c>
      <x:c r="AC56" s="3" t="str">
        <x:v>https://api.github.com/repos/kokonut-labs/kokonutui; https://github.com/kokonut-labs/kokonutui/blob/main/LICENSE; https://kokonutui.com/docs; https://kokonutui.com/docs/ai/ai-diff-review</x:v>
      </x:c>
      <x:c r="AD56" s="3" t="str">
        <x:v>Official sources reviewed; no completed live visual or interaction benchmark.</x:v>
      </x:c>
      <x:c r="AE56" s="3" t="str">
        <x:v>Use when: a specific metric, reversible action or media/AI review moment needs a crafted interaction reference. Avoid when: adding a decorative effect to every desktop control or replacing the coherent shell. alternative_ids: shadcn_ui, motion, magic_ui, assistant_ui, monaco_editor. Implementation effort: low to copy a demo; medium–high to connect real data, focus, keyboard, reduced motion and backend state. Select the utility components over novelty buttons/backgrounds. GitHub/source snapshot 2026-10-17; review compiled 2026-10-18.</x:v>
      </x:c>
      <x:c r="AF56" s="11" t="d">
        <x:v>2026-10-18T12:00:00.000Z</x:v>
      </x:c>
      <x:c r="AG56" s="3" t="str">
        <x:v>Interaction pattern components</x:v>
      </x:c>
      <x:c r="AH56" s="22" t="n">
        <x:v>76</x:v>
      </x:c>
      <x:c r="AI56" s="23" t="n">
        <x:v>4</x:v>
      </x:c>
      <x:c r="AJ56" s="23" t="n">
        <x:v>4</x:v>
      </x:c>
      <x:c r="AK56" s="23" t="n">
        <x:v>3</x:v>
      </x:c>
      <x:c r="AL56" s="23" t="n">
        <x:v>3</x:v>
      </x:c>
      <x:c r="AM56" s="23" t="n">
        <x:v>5</x:v>
      </x:c>
      <x:c r="AN56" s="23" t="n">
        <x:v>4</x:v>
      </x:c>
      <x:c r="AO56" s="23" t="n">
        <x:v>3</x:v>
      </x:c>
      <x:c r="AP56" s="23" t="n">
        <x:v>4</x:v>
      </x:c>
      <x:c r="AQ56" s="3" t="str">
        <x:v>medium</x:v>
      </x:c>
      <x:c r="AR56" s="3" t="str">
        <x:v>Use selected free visual/AI/media components as editable pattern material after checking each dependency.</x:v>
      </x:c>
      <x:c r="AS56" s="3" t="str">
        <x:v>Treat as a specialist component pool; validate semantics and ongoing copy-code maintenance.</x:v>
      </x:c>
      <x:c r="AT56" s="3" t="str">
        <x:v>Magic UI (free components); shadcn/ui</x:v>
      </x:c>
      <x:c r="AU56" s="3" t="str">
        <x:v>https://kokonutui.com/docs/ai/ai-diff-review</x:v>
      </x:c>
      <x:c r="AV56" s="3" t="str">
        <x:v>Inspect a proposed change in an inline diff-review card.</x:v>
      </x:c>
      <x:c r="AW56" s="3" t="str">
        <x:v>provisional</x:v>
      </x:c>
      <x:c r="AX56" s="3" t="str">
        <x:v>qualified_named_core_scope</x:v>
      </x:c>
    </x:row>
    <x:row r="57" ht="60" hidden="0" customHeight="1">
      <x:c r="A57" s="3" t="str">
        <x:v>pixijs</x:v>
      </x:c>
      <x:c r="B57" s="3" t="str">
        <x:v>PixiJS</x:v>
      </x:c>
      <x:c r="C57" s="3" t="str">
        <x:v>situational</x:v>
      </x:c>
      <x:c r="D57" s="3" t="str">
        <x:v>Canvas and collaboration</x:v>
      </x:c>
      <x:c r="E57" s="3" t="str">
        <x:v>A5; A8; D2; D4; D6; F2</x:v>
      </x:c>
      <x:c r="F57" s="3" t="str">
        <x:v>multiplayer_whiteboards; video_timelines; product_configurators; landing_pages</x:v>
      </x:c>
      <x:c r="G57" s="3" t="str">
        <x:v>GPU-accelerated 2D scenes with sprites, masks, filters and many animated objects.</x:v>
      </x:c>
      <x:c r="H57" s="3" t="str">
        <x:v>MIT</x:v>
      </x:c>
      <x:c r="I57" s="3" t="str">
        <x:v>permissive</x:v>
      </x:c>
      <x:c r="J57" s="3" t="str">
        <x:v>https://github.com/pixijs/pixijs</x:v>
      </x:c>
      <x:c r="K57" s="3" t="str">
        <x:v>https://pixijs.com/8.x/guides/getting-started/intro</x:v>
      </x:c>
      <x:c r="L57" s="3" t="str">
        <x:v>Strong official React renderer; keep frame-loop state outside React renders and load the GPU scene in a client boundary. Align @pixi/react v8 with PixiJS v8 and the documented React major; current wrapper README advertises React19 support.</x:v>
      </x:c>
      <x:c r="M57" s="3" t="str">
        <x:v>TypeScript; WebGL/WebGPU; optional @pixi/react renderer</x:v>
      </x:c>
      <x:c r="N57" s="3" t="n">
        <x:v>4</x:v>
      </x:c>
      <x:c r="O57" s="3" t="str">
        <x:v>https://pixijs.com/</x:v>
      </x:c>
      <x:c r="P57" s="3" t="str">
        <x:v>Current official homepage Nebulon Header loaded in browser; visual score is editorial potential from the current showcase, not a measured frame-rate or completed interaction test.</x:v>
      </x:c>
      <x:c r="Q57" s="3" t="str">
        <x:v>Batching, sprite/container scene graph, filters and GPU backends suit animated 2D workloads. Texture uploads, blend modes, filter passes and hit testing still dominate complex scenes. No benchmark run.</x:v>
      </x:c>
      <x:c r="R57" s="3" t="str">
        <x:v>Rendering engine, not an infinite-canvas editor, CRDT or video codec pipeline. Canvas content needs an accessible DOM layer; Spine/editor/assets can have separate licences. WebGPU and WebGL visual parity must be verified for chosen filters.</x:v>
      </x:c>
      <x:c r="S57" s="11" t="d">
        <x:v>2026-10-01T12:00:00.000Z</x:v>
      </x:c>
      <x:c r="T57" s="3" t="str">
        <x:v>v8.22.0</x:v>
      </x:c>
      <x:c r="U57" s="11" t="d">
        <x:v>2026-10-10T12:00:00.000Z</x:v>
      </x:c>
      <x:c r="V57" s="3" t="str">
        <x:v>pass: dated release and/or meaningful commit inside 2026-04-17–2026-10-17; evidence collected 2026-10-17</x:v>
      </x:c>
      <x:c r="W57" s="3" t="str">
        <x:v>pass</x:v>
      </x:c>
      <x:c r="X57" s="3" t="n">
        <x:v>48400</x:v>
      </x:c>
      <x:c r="Y57" s="11" t="d">
        <x:v>2026-10-17T12:00:00.000Z</x:v>
      </x:c>
      <x:c r="Z57" s="3" t="str">
        <x:v>PixiJS team and community</x:v>
      </x:c>
      <x:c r="AA57" s="3" t="str">
        <x:v>https://github.com/pixijs/pixijs/blob/dev/LICENSE</x:v>
      </x:c>
      <x:c r="AB57" s="3" t="str">
        <x:v>https://github.com/pixijs/pixijs/releases/tag/v8.22.0; https://github.com/pixijs/pixijs/commit/65552017d23255c1442a7d4ac7f0d49e3225fb1d</x:v>
      </x:c>
      <x:c r="AC57" s="3" t="str">
        <x:v>https://pixijs.com/8.x/guides/getting-started/intro; https://pixijs.com/; https://api.github.com/repos/pixijs/pixijs; https://github.com/pixijs/pixijs/blob/dev/LICENSE; https://github.com/pixijs/pixijs/releases/tag/v8.22.0; https://github.com/pixijs/pixi-react/blob/main/README.md</x:v>
      </x:c>
      <x:c r="AD57" s="3" t="str">
        <x:v>Current official homepage Nebulon Header loaded in browser; visual score is editorial potential from the current showcase, not a measured frame-rate or completed interaction test.</x:v>
      </x:c>
      <x:c r="AE57" s="3" t="str">
        <x:v>Best when: many animated images/graphics or shader/filter effects exceed ordinary DOM/Canvas needs. Avoid when: the screen is mostly native forms, semantic text or a ready sketch whiteboard. Alternatives: konva for custom Canvas editing; excalidraw for ready sketch UX; react-three-fiber for actual 3D. Effort: high for a finished editor, medium for an isolated GPU scene. Pixi's maturity does not make every showcase interaction appropriate for a dense desktop app.</x:v>
      </x:c>
      <x:c r="AF57" s="11" t="d">
        <x:v>2026-10-17T12:00:00.000Z</x:v>
      </x:c>
      <x:c r="AG57" s="3" t="str">
        <x:v>2D canvas engine</x:v>
      </x:c>
      <x:c r="AH57" s="22" t="n">
        <x:v>81</x:v>
      </x:c>
      <x:c r="AI57" s="23" t="n">
        <x:v>4</x:v>
      </x:c>
      <x:c r="AJ57" s="23" t="n">
        <x:v>5</x:v>
      </x:c>
      <x:c r="AK57" s="23" t="n">
        <x:v>2</x:v>
      </x:c>
      <x:c r="AL57" s="23" t="n">
        <x:v>5</x:v>
      </x:c>
      <x:c r="AM57" s="23" t="n">
        <x:v>4</x:v>
      </x:c>
      <x:c r="AN57" s="23" t="n">
        <x:v>5</x:v>
      </x:c>
      <x:c r="AO57" s="23" t="n">
        <x:v>5</x:v>
      </x:c>
      <x:c r="AP57" s="23" t="n">
        <x:v>2</x:v>
      </x:c>
      <x:c r="AQ57" s="3" t="str">
        <x:v>high</x:v>
      </x:c>
      <x:c r="AR57" s="3" t="str">
        <x:v>Prefer for dense GPU-accelerated 2D scenes, sprites, effects and custom media/canvas experiences.</x:v>
      </x:c>
      <x:c r="AS57" s="3" t="str">
        <x:v>It does not supply editor selection, collaboration or accessible DOM controls.</x:v>
      </x:c>
      <x:c r="AT57" s="3" t="str">
        <x:v>Konva</x:v>
      </x:c>
      <x:c r="AU57" s="3" t="str">
        <x:v>https://www.awwwards.com/inspiration/pixi-js-filter</x:v>
      </x:c>
      <x:c r="AV57" s="3" t="str">
        <x:v>Filter-based image/transition treatment attributed to PixiJS.</x:v>
      </x:c>
      <x:c r="AW57" s="3" t="str">
        <x:v>documented</x:v>
      </x:c>
      <x:c r="AX57" s="3" t="str">
        <x:v>qualified_named_core_scope</x:v>
      </x:c>
    </x:row>
    <x:row r="58" ht="72" hidden="0" customHeight="1">
      <x:c r="A58" s="3" t="str">
        <x:v>antv-g6</x:v>
      </x:c>
      <x:c r="B58" s="3" t="str">
        <x:v>AntV G6</x:v>
      </x:c>
      <x:c r="C58" s="3" t="str">
        <x:v>watch</x:v>
      </x:c>
      <x:c r="D58" s="3" t="str">
        <x:v>Graph and network visualisation</x:v>
      </x:c>
      <x:c r="E58" s="3" t="str">
        <x:v>C4; D2; E2</x:v>
      </x:c>
      <x:c r="F58" s="3" t="str">
        <x:v>network_graphs; ai_agents; multiplayer_whiteboards</x:v>
      </x:c>
      <x:c r="G58" s="3" t="str">
        <x:v>Graph exploration with a broad layout, grouping, label-density and interaction ecosystem.</x:v>
      </x:c>
      <x:c r="H58" s="3" t="str">
        <x:v>MIT</x:v>
      </x:c>
      <x:c r="I58" s="3" t="str">
        <x:v>permissive</x:v>
      </x:c>
      <x:c r="J58" s="3" t="str">
        <x:v>https://github.com/antvis/G6</x:v>
      </x:c>
      <x:c r="K58" s="3" t="str">
        <x:v>https://g6.antv.antgroup.com/en/manual/introduction/</x:v>
      </x:c>
      <x:c r="L58" s="3" t="str">
        <x:v>Good: imperative graph instance in a client component; custom React node guidance exists. Keep package versions and renderer/layout choices explicit.</x:v>
      </x:c>
      <x:c r="M58" s="3" t="str">
        <x:v>TypeScript; AntV rendering and layout ecosystem; Canvas/SVG/WebGL options; React custom nodes</x:v>
      </x:c>
      <x:c r="N58" s="3" t="n">
        <x:v>4</x:v>
      </x:c>
      <x:c r="O58" s="3" t="str">
        <x:v>https://g6.antv.antgroup.com/en/examples/feature/default/unicorns-investors/</x:v>
      </x:c>
      <x:c r="P58" s="3" t="str">
        <x:v>Official Information Density example inspected: source, thumbnail and stated 1,086-node/1,247-edge scene; live canvas remained at Loading example. Score is provisional editorial potential; do not claim a rendered load test.</x:v>
      </x:c>
      <x:c r="Q58" s="3" t="str">
        <x:v>Official examples include worker/GPU layouts, auto label adaptation and hide-during-drag behaviours. Choose and benchmark layout/rendering separately; GPU support does not remove layout/data/label costs.</x:v>
      </x:c>
      <x:c r="R58" s="3" t="str">
        <x:v>Broad API and renderer/plugin surface increase integration/version complexity. The strongest demo did not finish loading during review, so a local pinned-version prototype is needed before default adoption. Canvas/3D graph views require an accessible traversal alternative.</x:v>
      </x:c>
      <x:c r="S58" s="11" t="d">
        <x:v>2026-04-17T12:00:00.000Z</x:v>
      </x:c>
      <x:c r="T58" s="3" t="str">
        <x:v>5.1.1</x:v>
      </x:c>
      <x:c r="U58" s="11" t="d">
        <x:v>2026-10-16T12:00:00.000Z</x:v>
      </x:c>
      <x:c r="V58" s="3" t="str">
        <x:v>pass: dated release and/or meaningful commit inside 2026-04-17–2026-10-17; evidence collected 2026-10-17</x:v>
      </x:c>
      <x:c r="W58" s="3" t="str">
        <x:v>pass</x:v>
      </x:c>
      <x:c r="X58" s="3" t="n">
        <x:v>12300</x:v>
      </x:c>
      <x:c r="Y58" s="11" t="d">
        <x:v>2026-10-17T12:00:00.000Z</x:v>
      </x:c>
      <x:c r="Z58" s="3" t="str">
        <x:v>AntV / Ant Group; community</x:v>
      </x:c>
      <x:c r="AA58" s="3" t="str">
        <x:v>https://github.com/antvis/G6/blob/v5/LICENSE</x:v>
      </x:c>
      <x:c r="AB58" s="3" t="str">
        <x:v>https://github.com/antvis/G6/releases/tag/5.1.1; https://github.com/antvis/G6/commit/9d592b75b6b79117cd855d3a97f8d1354b393773</x:v>
      </x:c>
      <x:c r="AC58" s="3" t="str">
        <x:v>https://g6.antv.antgroup.com/en/manual/introduction/; https://g6.antv.antgroup.com/en/examples/feature/default/unicorns-investors/; https://api.github.com/repos/antvis/G6; https://github.com/antvis/G6/blob/v5/LICENSE; https://github.com/antvis/G6/releases/tag/5.1.1</x:v>
      </x:c>
      <x:c r="AD58" s="3" t="str">
        <x:v>Official Information Density example inspected: source, thumbnail and stated 1,086-node/1,247-edge scene; live canvas remained at Loading example. Score is provisional editorial potential; do not claim a rendered load test.</x:v>
      </x:c>
      <x:c r="AE58" s="3" t="str">
        <x:v>Best when: a network product needs many built-in layouts, combos, semantic density controls and graph-specific behaviours. Avoid when: React form cards/workflow ports are the primary UI, or a narrow network renderer already suffices. Alternatives: sigma-js for dense network exploration; react-flow for editable React workflows; echarts for a chart-sized relation view. Effort: medium-high. Release 5.1.1 is outside the updated 2026-04-18 maintenance window; Oct16 layout fix independently confirms current meaningful activity.</x:v>
      </x:c>
      <x:c r="AF58" s="11" t="d">
        <x:v>2026-10-17T12:00:00.000Z</x:v>
      </x:c>
      <x:c r="AG58" s="3" t="str">
        <x:v>Network renderer</x:v>
      </x:c>
      <x:c r="AH58" s="22" t="n">
        <x:v>72</x:v>
      </x:c>
      <x:c r="AI58" s="23" t="n">
        <x:v>4</x:v>
      </x:c>
      <x:c r="AJ58" s="23" t="n">
        <x:v>5</x:v>
      </x:c>
      <x:c r="AK58" s="23" t="n">
        <x:v>2</x:v>
      </x:c>
      <x:c r="AL58" s="23" t="n">
        <x:v>4</x:v>
      </x:c>
      <x:c r="AM58" s="23" t="n">
        <x:v>3</x:v>
      </x:c>
      <x:c r="AN58" s="23" t="n">
        <x:v>4</x:v>
      </x:c>
      <x:c r="AO58" s="23" t="n">
        <x:v>4</x:v>
      </x:c>
      <x:c r="AP58" s="23" t="n">
        <x:v>2</x:v>
      </x:c>
      <x:c r="AQ58" s="3" t="str">
        <x:v>high</x:v>
      </x:c>
      <x:c r="AR58" s="3" t="str">
        <x:v>Choose graph exploration when multiple layouts, behaviours and analysis-oriented graph tooling matter.</x:v>
      </x:c>
      <x:c r="AS58" s="3" t="str">
        <x:v>Prefer React Flow for node-port workflow editing; verify renderer/layout performance on your actual graph.</x:v>
      </x:c>
      <x:c r="AT58" s="3" t="str">
        <x:v>Sigma.js + Graphology; React Flow</x:v>
      </x:c>
      <x:c r="AU58" s="3" t="str">
        <x:v>https://g6.antv.antgroup.com/en/manual/introduction/</x:v>
      </x:c>
      <x:c r="AV58" s="3" t="str">
        <x:v>Integration documentation; this link is guidance, not an additional live demonstration.</x:v>
      </x:c>
      <x:c r="AW58" s="3" t="str">
        <x:v>provisional</x:v>
      </x:c>
      <x:c r="AX58" s="3" t="str">
        <x:v>qualified_named_core_scope</x:v>
      </x:c>
    </x:row>
    <x:row r="59" ht="72" hidden="0" customHeight="1">
      <x:c r="A59" s="3" t="str">
        <x:v>loro</x:v>
      </x:c>
      <x:c r="B59" s="3" t="str">
        <x:v>Loro</x:v>
      </x:c>
      <x:c r="C59" s="3" t="str">
        <x:v>situational</x:v>
      </x:c>
      <x:c r="D59" s="3" t="str">
        <x:v>Canvas and collaboration</x:v>
      </x:c>
      <x:c r="E59" s="3" t="str">
        <x:v>D3; D5</x:v>
      </x:c>
      <x:c r="F59" s="3" t="str">
        <x:v>multiplayer_whiteboards; ai_agents</x:v>
      </x:c>
      <x:c r="G59" s="3" t="str">
        <x:v>Collaborative JSON, movable trees and version-history state for custom local-first products.</x:v>
      </x:c>
      <x:c r="H59" s="3" t="str">
        <x:v>MIT</x:v>
      </x:c>
      <x:c r="I59" s="3" t="str">
        <x:v>permissive</x:v>
      </x:c>
      <x:c r="J59" s="3" t="str">
        <x:v>https://github.com/loro-dev/loro</x:v>
      </x:c>
      <x:c r="K59" s="3" t="str">
        <x:v>https://loro.dev/docs/tutorial/get_started</x:v>
      </x:c>
      <x:c r="L59" s="3" t="str">
        <x:v>Good framework-agnostic model layer; bridge granular subscriptions to React and initialise WASM in the correct client/runtime boundary.</x:v>
      </x:c>
      <x:c r="M59" s="3" t="str">
        <x:v>Rust core; WASM/TypeScript bindings; CRDTs</x:v>
      </x:c>
      <x:c r="N59" s="3" t="n">
        <x:v>3</x:v>
      </x:c>
      <x:c r="O59" s="3" t="str">
        <x:v>https://loro.dev/</x:v>
      </x:c>
      <x:c r="P59" s="3" t="str">
        <x:v>Headless state infrastructure: score denotes documented collaborative/time-travel capabilities, not native visual styling. No multiplayer interaction or scale test run.</x:v>
      </x:c>
      <x:c r="Q59" s="3" t="str">
        <x:v>Rust/WASM CRDT engine with snapshot/history/delta APIs. History growth, WASM startup, document partitioning, subscriptions and network transport must be measured on the app's data model.</x:v>
      </x:c>
      <x:c r="R59" s="3" t="str">
        <x:v>A third CRDT option is justified only by movable-tree/history requirements. It does not supply permissions, hosted durability, accessible whiteboard chrome or a production sync service by itself. Server/provider ecosystem and schema migration need evaluation.</x:v>
      </x:c>
      <x:c r="S59" s="11" t="d">
        <x:v>2026-09-30T12:00:00.000Z</x:v>
      </x:c>
      <x:c r="T59" s="3" t="str">
        <x:v>loro-crdt@1.16.4</x:v>
      </x:c>
      <x:c r="U59" s="11" t="d">
        <x:v>2026-10-17T12:00:00.000Z</x:v>
      </x:c>
      <x:c r="V59" s="3" t="str">
        <x:v>pass: dated release and/or meaningful commit inside 2026-04-17–2026-10-17; evidence collected 2026-10-17</x:v>
      </x:c>
      <x:c r="W59" s="3" t="str">
        <x:v>pass</x:v>
      </x:c>
      <x:c r="X59" s="3" t="n">
        <x:v>6200</x:v>
      </x:c>
      <x:c r="Y59" s="11" t="d">
        <x:v>2026-10-17T12:00:00.000Z</x:v>
      </x:c>
      <x:c r="Z59" s="3" t="str">
        <x:v>Loro team and community</x:v>
      </x:c>
      <x:c r="AA59" s="3" t="str">
        <x:v>https://github.com/loro-dev/loro/blob/main/LICENSE</x:v>
      </x:c>
      <x:c r="AB59" s="3" t="str">
        <x:v>https://github.com/loro-dev/loro/releases/tag/loro-crdt%401.16.4; https://github.com/loro-dev/loro/commit/089a4e64731cf1609d8b6918b93a151f2b8db26a</x:v>
      </x:c>
      <x:c r="AC59" s="3" t="str">
        <x:v>https://loro.dev/docs/tutorial/get_started; https://loro.dev/; https://api.github.com/repos/loro-dev/loro; https://github.com/loro-dev/loro/blob/main/LICENSE; https://github.com/loro-dev/loro/releases/tag/loro-crdt%401.16.4</x:v>
      </x:c>
      <x:c r="AD59" s="3" t="str">
        <x:v>Headless state infrastructure: score denotes documented collaborative/time-travel capabilities, not native visual styling. No multiplayer interaction or scale test run.</x:v>
      </x:c>
      <x:c r="AE59" s="3" t="str">
        <x:v>Best when: a custom design/document model needs concurrent movable tree operations and explicit version-history APIs. Avoid when: an existing Yjs editor binding already solves the product, or adding another CRDT creates duplicate document truth. Alternatives: yjs for the mature editor/provider ecosystem; automerge for JSON/history-oriented local-first documents. Effort: high for complete multiplayer product integration. Choose one state model per shared document; do not stack CRDTs as mandatory dependencies.</x:v>
      </x:c>
      <x:c r="AF59" s="11" t="d">
        <x:v>2026-10-17T12:00:00.000Z</x:v>
      </x:c>
      <x:c r="AG59" s="3" t="str">
        <x:v>Collaboration sync</x:v>
      </x:c>
      <x:c r="AH59" s="22" t="n">
        <x:v>81.5</x:v>
      </x:c>
      <x:c r="AI59" s="23"/>
      <x:c r="AJ59" s="23" t="n">
        <x:v>5</x:v>
      </x:c>
      <x:c r="AK59" s="23"/>
      <x:c r="AL59" s="23" t="n">
        <x:v>4</x:v>
      </x:c>
      <x:c r="AM59" s="23" t="n">
        <x:v>4</x:v>
      </x:c>
      <x:c r="AN59" s="23" t="n">
        <x:v>4</x:v>
      </x:c>
      <x:c r="AO59" s="23" t="n">
        <x:v>4</x:v>
      </x:c>
      <x:c r="AP59" s="23" t="n">
        <x:v>2</x:v>
      </x:c>
      <x:c r="AQ59" s="3" t="str">
        <x:v>high</x:v>
      </x:c>
      <x:c r="AR59" s="3" t="str">
        <x:v>Prefer when movable trees/lists, undo and document history fit your local-first collaboration model.</x:v>
      </x:c>
      <x:c r="AS59" s="3" t="str">
        <x:v>It is a data engine; you still own transport, auth, persistence and visible merge/undo behaviour.</x:v>
      </x:c>
      <x:c r="AT59" s="3" t="str">
        <x:v>Yjs; Automerge</x:v>
      </x:c>
      <x:c r="AU59" s="3" t="str">
        <x:v>https://loro.dev/docs/tutorial/get_started</x:v>
      </x:c>
      <x:c r="AV59" s="3" t="str">
        <x:v>Integration documentation; this link is guidance, not an additional live demonstration.</x:v>
      </x:c>
      <x:c r="AW59" s="3" t="str">
        <x:v>documented</x:v>
      </x:c>
      <x:c r="AX59" s="3" t="str">
        <x:v>qualified_named_core_scope</x:v>
      </x:c>
    </x:row>
    <x:row r="60" ht="84" hidden="0" customHeight="1">
      <x:c r="A60" s="3" t="str">
        <x:v>vtable</x:v>
      </x:c>
      <x:c r="B60" s="3" t="str">
        <x:v>VisActor VTable</x:v>
      </x:c>
      <x:c r="C60" s="3" t="str">
        <x:v>watch</x:v>
      </x:c>
      <x:c r="D60" s="3" t="str">
        <x:v>Charts and data visualisation</x:v>
      </x:c>
      <x:c r="E60" s="3" t="str">
        <x:v>B6; C2; C5</x:v>
      </x:c>
      <x:c r="F60" s="3" t="str">
        <x:v>kpi_dashboards; realtime_trading; ai_agents</x:v>
      </x:c>
      <x:c r="G60" s="3" t="str">
        <x:v>Canvas-based dense list/pivot tables and a related open-source Gantt package.</x:v>
      </x:c>
      <x:c r="H60" s="3" t="str">
        <x:v>MIT</x:v>
      </x:c>
      <x:c r="I60" s="3" t="str">
        <x:v>permissive</x:v>
      </x:c>
      <x:c r="J60" s="3" t="str">
        <x:v>https://github.com/visactor/VTable</x:v>
      </x:c>
      <x:c r="K60" s="3" t="str">
        <x:v>https://visactor.io/vtable</x:v>
      </x:c>
      <x:c r="L60" s="3" t="str">
        <x:v>Good React wrapper ecosystem; render a client-side table and explicitly sync container resize, selection and edit events.</x:v>
      </x:c>
      <x:c r="M60" s="3" t="str">
        <x:v>TypeScript; VRender Canvas scene graph; React integration packages</x:v>
      </x:c>
      <x:c r="N60" s="3" t="n">
        <x:v>4</x:v>
      </x:c>
      <x:c r="O60" s="3" t="str">
        <x:v>https://visactor.io/vtable</x:v>
      </x:c>
      <x:c r="P60" s="3" t="str">
        <x:v>Official table/Gantt documentation and current code/releases reviewed. Live browser review was blocked by automatic approval review hitting the usage limit; no rendered-table observation claimed. Rating is provisional.</x:v>
      </x:c>
      <x:c r="Q60" s="3" t="str">
        <x:v>Canvas architecture targets dense multidimensional data without DOM-per-cell cost. Million-row claims are vendor/demo claims only; no dataset, scrolling, editing, memory or keyboard benchmark run.</x:v>
      </x:c>
      <x:c r="R60" s="3" t="str">
        <x:v>Canvas tables require deliberate screen-reader, keyboard, copy/paste and DOM-editor design. Package-level capabilities and Gantt dependency semantics need a focused prototype. Do not infer every VTable package/release has identical versioning.</x:v>
      </x:c>
      <x:c r="S60" s="11" t="d">
        <x:v>2026-09-12T12:00:00.000Z</x:v>
      </x:c>
      <x:c r="T60" s="3" t="str">
        <x:v>v1.26.8</x:v>
      </x:c>
      <x:c r="U60" s="11" t="d">
        <x:v>2026-10-16T12:00:00.000Z</x:v>
      </x:c>
      <x:c r="V60" s="3" t="str">
        <x:v>pass: dated release and/or meaningful commit inside 2026-04-17–2026-10-17; evidence collected 2026-10-17</x:v>
      </x:c>
      <x:c r="W60" s="3" t="str">
        <x:v>pass</x:v>
      </x:c>
      <x:c r="X60" s="3" t="n">
        <x:v>3700</x:v>
      </x:c>
      <x:c r="Y60" s="11" t="d">
        <x:v>2026-10-17T12:00:00.000Z</x:v>
      </x:c>
      <x:c r="Z60" s="3" t="str">
        <x:v>ByteDance / VisActor</x:v>
      </x:c>
      <x:c r="AA60" s="3" t="str">
        <x:v>https://github.com/VisActor/VTable/blob/develop/LICENSE</x:v>
      </x:c>
      <x:c r="AB60" s="3" t="str">
        <x:v>https://github.com/VisActor/VTable/releases/tag/v1.26.8; https://github.com/VisActor/VTable/commit/9432ef78dc56f011c9175de64fc6cfdff2fd6825</x:v>
      </x:c>
      <x:c r="AC60" s="3" t="str">
        <x:v>https://visactor.io/vtable; https://visactor.io/vtable; https://api.github.com/repos/visactor/VTable; https://github.com/VisActor/VTable/blob/develop/LICENSE; https://github.com/VisActor/VTable/releases/tag/v1.26.8; https://github.com/VisActor/VTable/blob/develop/README.md</x:v>
      </x:c>
      <x:c r="AD60" s="3" t="str">
        <x:v>Official table/Gantt documentation and current code/releases reviewed. Live browser review was blocked by automatic approval review hitting the usage limit; no rendered-table observation claimed. Rating is provisional.</x:v>
      </x:c>
      <x:c r="AE60" s="3" t="str">
        <x:v>Best when: dense pivot/cross-tab analytics or Canvas Gantt controls are specifically needed and DOM grids miss the measured performance target. Avoid when: ordinary accessible editable rows are sufficient, or a proven grid already fits. Alternatives: tanstack_table + tanstack_virtual for owned DOM UI; ag_grid_community for a mature editable grid; fullcalendar for calendar scheduling. Effort: medium-high, particularly accessibility and custom editing. This narrows the permissive Gantt candidate gap but does not establish full project-planning or media-timeline parity.</x:v>
      </x:c>
      <x:c r="AF60" s="11" t="d">
        <x:v>2026-10-17T12:00:00.000Z</x:v>
      </x:c>
      <x:c r="AG60" s="3" t="str">
        <x:v>Data table</x:v>
      </x:c>
      <x:c r="AH60" s="22" t="n">
        <x:v>79</x:v>
      </x:c>
      <x:c r="AI60" s="23" t="n">
        <x:v>4</x:v>
      </x:c>
      <x:c r="AJ60" s="23" t="n">
        <x:v>5</x:v>
      </x:c>
      <x:c r="AK60" s="23" t="n">
        <x:v>2</x:v>
      </x:c>
      <x:c r="AL60" s="23" t="n">
        <x:v>5</x:v>
      </x:c>
      <x:c r="AM60" s="23" t="n">
        <x:v>4</x:v>
      </x:c>
      <x:c r="AN60" s="23" t="n">
        <x:v>4</x:v>
      </x:c>
      <x:c r="AO60" s="23" t="n">
        <x:v>4</x:v>
      </x:c>
      <x:c r="AP60" s="23" t="n">
        <x:v>3</x:v>
      </x:c>
      <x:c r="AQ60" s="3" t="str">
        <x:v>medium</x:v>
      </x:c>
      <x:c r="AR60" s="3" t="str">
        <x:v>Consider Canvas tables/Gantt when the DOM grid becomes the display bottleneck.</x:v>
      </x:c>
      <x:c r="AS60" s="3" t="str">
        <x:v>A Canvas grid needs its own accessibility strategy and custom product styling.</x:v>
      </x:c>
      <x:c r="AT60" s="3" t="str">
        <x:v>AG Grid Community; TanStack Table</x:v>
      </x:c>
      <x:c r="AU60" s="3" t="str">
        <x:v>https://visactor.io/vtable</x:v>
      </x:c>
      <x:c r="AV60" s="3" t="str">
        <x:v>Integration documentation; this link is guidance, not an additional live demonstration.</x:v>
      </x:c>
      <x:c r="AW60" s="3" t="str">
        <x:v>provisional</x:v>
      </x:c>
      <x:c r="AX60" s="3" t="str">
        <x:v>qualified_named_core_scope</x:v>
      </x:c>
    </x:row>
    <x:row r="61" ht="60" hidden="0" customHeight="1">
      <x:c r="A61" s="3" t="str">
        <x:v>json_render</x:v>
      </x:c>
      <x:c r="B61" s="3" t="str">
        <x:v>json-render</x:v>
      </x:c>
      <x:c r="C61" s="3" t="str">
        <x:v>situational</x:v>
      </x:c>
      <x:c r="D61" s="3" t="str">
        <x:v>AI interface patterns</x:v>
      </x:c>
      <x:c r="E61" s="3" t="str">
        <x:v>C2; E5</x:v>
      </x:c>
      <x:c r="F61" s="3" t="str">
        <x:v>ai_agents; kpi_dashboards; simple_charts</x:v>
      </x:c>
      <x:c r="G61" s="3" t="str">
        <x:v>Generate interactive dashboards and forms from a typed, application-owned component catalog.</x:v>
      </x:c>
      <x:c r="H61" s="3" t="str">
        <x:v>Apache-2.0</x:v>
      </x:c>
      <x:c r="I61" s="3" t="str">
        <x:v>permissive</x:v>
      </x:c>
      <x:c r="J61" s="3" t="str">
        <x:v>https://github.com/vercel-labs/json-render</x:v>
      </x:c>
      <x:c r="K61" s="3" t="str">
        <x:v>https://json-render.dev/docs</x:v>
      </x:c>
      <x:c r="L61" s="3" t="str">
        <x:v>Excellent: React renderer, native application components and documented AI SDK integration; use client boundaries for interactive state.</x:v>
      </x:c>
      <x:c r="M61" s="3" t="str">
        <x:v>TypeScript; React/React Native/Vue and other renderers; typed schemas; JSONL patch streams</x:v>
      </x:c>
      <x:c r="N61" s="3" t="n">
        <x:v>4</x:v>
      </x:c>
      <x:c r="O61" s="3" t="str">
        <x:v>https://json-render.dev/playground</x:v>
      </x:c>
      <x:c r="P61" s="3" t="str">
        <x:v>Live JSON-to-component split demo visually inspected on 2026-10-18. Presentation comes from the registered components. No generated-action execution or scale test was run.</x:v>
      </x:c>
      <x:c r="Q61" s="3" t="str">
        <x:v>Progressive JSONL patches; Sep2026 release stabilizes streamed React rendering and nested prop identity. Rendering cost still belongs to components; bound spec size and update frequency.</x:v>
      </x:c>
      <x:c r="R61" s="3" t="str">
        <x:v>Vercel Labs/pre1.0 project: expect API evolution. Catalog constraints do not establish data correctness or server authorization. Build schema validation, error recovery, provenance and action policy.</x:v>
      </x:c>
      <x:c r="S61" s="11" t="d">
        <x:v>2026-10-13T12:00:00.000Z</x:v>
      </x:c>
      <x:c r="T61" s="3" t="str">
        <x:v>v0.21.1</x:v>
      </x:c>
      <x:c r="U61" s="11" t="d">
        <x:v>2026-10-13T12:00:00.000Z</x:v>
      </x:c>
      <x:c r="V61" s="3" t="str">
        <x:v>verified_active_within_6_months</x:v>
      </x:c>
      <x:c r="W61" s="3" t="str">
        <x:v>pass</x:v>
      </x:c>
      <x:c r="X61" s="3" t="n">
        <x:v>18700</x:v>
      </x:c>
      <x:c r="Y61" s="11" t="d">
        <x:v>2026-10-17T12:00:00.000Z</x:v>
      </x:c>
      <x:c r="Z61" s="3" t="str">
        <x:v>Vercel Labs</x:v>
      </x:c>
      <x:c r="AA61" s="3" t="str">
        <x:v>https://github.com/vercel-labs/json-render/blob/main/LICENSE</x:v>
      </x:c>
      <x:c r="AB61" s="3" t="str">
        <x:v>https://api.github.com/repos/vercel-labs/json-render/releases?per_page=2; https://api.github.com/repos/vercel-labs/json-render/commits?per_page=1; https://github.com/vercel-labs/json-render/releases/tag/v0.21.1; https://github.com/vercel-labs/json-render/commit/72568f990e5502c4d3115691facb8ca928a5c9fc</x:v>
      </x:c>
      <x:c r="AC61" s="3" t="str">
        <x:v>https://json-render.dev/docs; https://json-render.dev/; https://github.com/vercel-labs/json-render/blob/main/LICENSE; https://github.com/vercel-labs/json-render/releases/tag/v0.21.1; https://github.com/vercel-labs/json-render/releases/tag/v0.21.0</x:v>
      </x:c>
      <x:c r="AD61" s="3" t="str">
        <x:v>Published example/docs reviewed; browser verification and benchmark limits are stated in visual_basis.</x:v>
      </x:c>
      <x:c r="AE61" s="3" t="str">
        <x:v>Use when: a generator should compose approved dashboard/form components instead of arbitrary code. Avoid when: a fixed product surface or direct tool-to-component mapping is simpler. Alternatives: assistant_ui,copilotkit,ai_sdk,openui_thesys. Effort: medium for a small catalog; high for complete reusable design/interaction constraints. Discovery: HN JSON-to-UI discussion; primary sources determine assessment.</x:v>
      </x:c>
      <x:c r="AF61" s="11" t="d">
        <x:v>2026-10-17T12:00:00.000Z</x:v>
      </x:c>
      <x:c r="AG61" s="3" t="str">
        <x:v>Generative UI renderer</x:v>
      </x:c>
      <x:c r="AH61" s="22" t="n">
        <x:v>82</x:v>
      </x:c>
      <x:c r="AI61" s="23" t="n">
        <x:v>4</x:v>
      </x:c>
      <x:c r="AJ61" s="23" t="n">
        <x:v>5</x:v>
      </x:c>
      <x:c r="AK61" s="23" t="n">
        <x:v>3</x:v>
      </x:c>
      <x:c r="AL61" s="23" t="n">
        <x:v>4</x:v>
      </x:c>
      <x:c r="AM61" s="23" t="n">
        <x:v>5</x:v>
      </x:c>
      <x:c r="AN61" s="23" t="n">
        <x:v>4</x:v>
      </x:c>
      <x:c r="AO61" s="23" t="n">
        <x:v>4</x:v>
      </x:c>
      <x:c r="AP61" s="23" t="n">
        <x:v>3</x:v>
      </x:c>
      <x:c r="AQ61" s="3" t="str">
        <x:v>high</x:v>
      </x:c>
      <x:c r="AR61" s="3" t="str">
        <x:v>Choose bounded generative UI where models emit a validated spec for your registered component catalogue.</x:v>
      </x:c>
      <x:c r="AS61" s="3" t="str">
        <x:v>Schema validation is not authorization; avoid arbitrary model-generated executable components.</x:v>
      </x:c>
      <x:c r="AT61" s="3" t="str">
        <x:v>OpenUI (Thesys open-source framework); CopilotKit (MIT SDKs and TypeScript runtime)</x:v>
      </x:c>
      <x:c r="AU61" s="3" t="str">
        <x:v>https://json-render.dev/docs</x:v>
      </x:c>
      <x:c r="AV61" s="3" t="str">
        <x:v>Integration documentation; this link is guidance, not an additional live demonstration.</x:v>
      </x:c>
      <x:c r="AW61" s="3" t="str">
        <x:v>documented</x:v>
      </x:c>
      <x:c r="AX61" s="3" t="str">
        <x:v>qualified_named_core_scope</x:v>
      </x:c>
    </x:row>
    <x:row r="62" ht="60" hidden="0" customHeight="1">
      <x:c r="A62" s="3" t="str">
        <x:v>openui_thesys</x:v>
      </x:c>
      <x:c r="B62" s="3" t="str">
        <x:v>OpenUI (Thesys open-source framework)</x:v>
      </x:c>
      <x:c r="C62" s="3" t="str">
        <x:v>situational</x:v>
      </x:c>
      <x:c r="D62" s="3" t="str">
        <x:v>AI interface patterns</x:v>
      </x:c>
      <x:c r="E62" s="3" t="str">
        <x:v>C2; E1; E2; E5</x:v>
      </x:c>
      <x:c r="F62" s="3" t="str">
        <x:v>ai_agents; kpi_dashboards; simple_charts</x:v>
      </x:c>
      <x:c r="G62" s="3" t="str">
        <x:v>Stream interactive agent responses from a compact UI language backed by your own components.</x:v>
      </x:c>
      <x:c r="H62" s="3" t="str">
        <x:v>MIT</x:v>
      </x:c>
      <x:c r="I62" s="3" t="str">
        <x:v>permissive</x:v>
      </x:c>
      <x:c r="J62" s="3" t="str">
        <x:v>https://github.com/thesysdev/openui</x:v>
      </x:c>
      <x:c r="K62" s="3" t="str">
        <x:v>https://www.openui.com/docs</x:v>
      </x:c>
      <x:c r="L62" s="3" t="str">
        <x:v>Excellent: React renderer and AgentInterface; can also embed in assistant-ui/CopilotKit. Upgrade React UI, language core, renderer and prompt server together.</x:v>
      </x:c>
      <x:c r="M62" s="3" t="str">
        <x:v>TypeScript; React agent shell/headless SDK; OpenUI Lang renderer; other framework adapters</x:v>
      </x:c>
      <x:c r="N62" s="3" t="n">
        <x:v>4</x:v>
      </x:c>
      <x:c r="O62" s="3" t="str">
        <x:v>https://www.openui.com/demo/f1-dashboard</x:v>
      </x:c>
      <x:c r="P62" s="3" t="str">
        <x:v>Live F1 dashboard shell, collapsed navigation and prompt affordances visually inspected on 2026-10-18. Data loading and the full model/action round trip were not validated.</x:v>
      </x:c>
      <x:c r="Q62" s="3" t="str">
        <x:v>Line-by-line progressive rendering. Vendor reports lower output-token cost than JSON formats; not independently reproduced and not a frame-rate benchmark. Oct2026 release fixes tool-call/result ordering.</x:v>
      </x:c>
      <x:c r="R62" s="3" t="str">
        <x:v>MIT framework is distinct from hosted OpenUI Cloud/Gateway/Observability and earlier Thesys C1 service. New language1.0 requires coordinated upgrades. Generated interfaces still need accessibility and action authorization. Avoid confusing with W&amp;B OpenUI.</x:v>
      </x:c>
      <x:c r="S62" s="11" t="d">
        <x:v>2026-10-15T12:00:00.000Z</x:v>
      </x:c>
      <x:c r="T62" s="3" t="str">
        <x:v>@openuidev/react-ui@0.18.1</x:v>
      </x:c>
      <x:c r="U62" s="11" t="d">
        <x:v>2026-10-16T12:00:00.000Z</x:v>
      </x:c>
      <x:c r="V62" s="3" t="str">
        <x:v>verified_active_within_6_months</x:v>
      </x:c>
      <x:c r="W62" s="3" t="str">
        <x:v>pass</x:v>
      </x:c>
      <x:c r="X62" s="3" t="n">
        <x:v>11500</x:v>
      </x:c>
      <x:c r="Y62" s="11" t="d">
        <x:v>2026-10-17T12:00:00.000Z</x:v>
      </x:c>
      <x:c r="Z62" s="3" t="str">
        <x:v>Thesys</x:v>
      </x:c>
      <x:c r="AA62" s="3" t="str">
        <x:v>https://github.com/thesysdev/openui/blob/main/LICENSE</x:v>
      </x:c>
      <x:c r="AB62" s="3" t="str">
        <x:v>https://github.com/thesysdev/openui/releases/tag/%40openuidev/react-ui%400.18.1; https://github.com/thesysdev/openui/releases/tag/%40openuidev/react-lang%401.0.0; https://api.github.com/repos/thesysdev/openui/releases?per_page=20; https://github.com/thesysdev/openui/commit/8d9c4c3b108a7b5352192a6a9d7327bdf7ea19b5</x:v>
      </x:c>
      <x:c r="AC62" s="3" t="str">
        <x:v>https://github.com/thesysdev/openui/blob/main/LICENSE; https://www.openui.com/docs; https://www.openui.com/; https://www.openui.com/demo/f1-dashboard; https://github.com/thesysdev/openui/releases/tag/%40openuidev/react-lang%401.0.0</x:v>
      </x:c>
      <x:c r="AD62" s="3" t="str">
        <x:v>Published example/docs reviewed; browser verification and benchmark limits are stated in visual_basis.</x:v>
      </x:c>
      <x:c r="AE62" s="3" t="str">
        <x:v>Use when: streaming forms/charts must integrate into an existing agent and component system, and a compact DSL is acceptable. Avoid when: protocol neutrality or minimizing abstraction is more important. Alternatives: json_render,assistant_ui,copilotkit. Effort: medium for one surface; high for custom component/action library and production policy. Discovery: HN plus Reddit developer demo; popularity and vendor benchmark are not quality proof.</x:v>
      </x:c>
      <x:c r="AF62" s="11" t="d">
        <x:v>2026-10-17T12:00:00.000Z</x:v>
      </x:c>
      <x:c r="AG62" s="3" t="str">
        <x:v>Generative UI renderer</x:v>
      </x:c>
      <x:c r="AH62" s="22" t="n">
        <x:v>82</x:v>
      </x:c>
      <x:c r="AI62" s="23" t="n">
        <x:v>4</x:v>
      </x:c>
      <x:c r="AJ62" s="23" t="n">
        <x:v>5</x:v>
      </x:c>
      <x:c r="AK62" s="23" t="n">
        <x:v>3</x:v>
      </x:c>
      <x:c r="AL62" s="23" t="n">
        <x:v>4</x:v>
      </x:c>
      <x:c r="AM62" s="23" t="n">
        <x:v>5</x:v>
      </x:c>
      <x:c r="AN62" s="23" t="n">
        <x:v>4</x:v>
      </x:c>
      <x:c r="AO62" s="23" t="n">
        <x:v>4</x:v>
      </x:c>
      <x:c r="AP62" s="23" t="n">
        <x:v>3</x:v>
      </x:c>
      <x:c r="AQ62" s="3" t="str">
        <x:v>high</x:v>
      </x:c>
      <x:c r="AR62" s="3" t="str">
        <x:v>Choose the Thesys OpenUI parser/renderer and component system for interactive streamed agent responses.</x:v>
      </x:c>
      <x:c r="AS62" s="3" t="str">
        <x:v>Do not confuse it with W&amp;B OpenUI or assume hosted Thesys features share the MIT scope.</x:v>
      </x:c>
      <x:c r="AT62" s="3" t="str">
        <x:v>json-render; assistant-ui</x:v>
      </x:c>
      <x:c r="AU62" s="3" t="str">
        <x:v>https://www.openui.com/docs</x:v>
      </x:c>
      <x:c r="AV62" s="3" t="str">
        <x:v>Choose a registered component library, stream the language, render one component line at a time.</x:v>
      </x:c>
      <x:c r="AW62" s="3" t="str">
        <x:v>documented</x:v>
      </x:c>
      <x:c r="AX62" s="3" t="str">
        <x:v>qualified_named_core_scope</x:v>
      </x:c>
    </x:row>
    <x:row r="63" ht="72" hidden="0" customHeight="1">
      <x:c r="A63" s="3" t="str">
        <x:v>rive_runtime</x:v>
      </x:c>
      <x:c r="B63" s="3" t="str">
        <x:v>Rive Web runtime (MIT playback; separate authoring)</x:v>
      </x:c>
      <x:c r="C63" s="3" t="str">
        <x:v>situational</x:v>
      </x:c>
      <x:c r="D63" s="3" t="str">
        <x:v>Motion and animation</x:v>
      </x:c>
      <x:c r="E63" s="3" t="str">
        <x:v>A5; A6; B8; B9; F1</x:v>
      </x:c>
      <x:c r="F63" s="3" t="str">
        <x:v>landing_pages; ai_agents; product_configurators</x:v>
      </x:c>
      <x:c r="G63" s="3" t="str">
        <x:v>Stateful vector illustrations and motion that react to application inputs.</x:v>
      </x:c>
      <x:c r="H63" s="3" t="str">
        <x:v>MIT</x:v>
      </x:c>
      <x:c r="I63" s="3" t="str">
        <x:v>permissive</x:v>
      </x:c>
      <x:c r="J63" s="3" t="str">
        <x:v>https://github.com/rive-app/rive-wasm</x:v>
      </x:c>
      <x:c r="K63" s="3" t="str">
        <x:v>https://github.com/rive-app/rive-wasm#readme</x:v>
      </x:c>
      <x:c r="L63" s="3" t="str">
        <x:v>Good: official rive-react components/hooks wrap JS/WASM and support React16.8–19. Client-side canvas mount, runtime cleanup and accessible DOM alternatives required.</x:v>
      </x:c>
      <x:c r="M63" s="3" t="str">
        <x:v>C++ vector/state-machine runtime; JavaScript/TypeScript/WebAssembly Web binding; MIT React wrapper</x:v>
      </x:c>
      <x:c r="N63" s="3" t="n">
        <x:v>5</x:v>
      </x:c>
      <x:c r="O63" s="3" t="str">
        <x:v>https://rive.app/docs/runtimes/demos</x:v>
      </x:c>
      <x:c r="P63" s="3" t="str">
        <x:v>Published runtime examples support interactive state-machine illustrations. The 5/5 rating describes authored visual potential rather than a default UI skin. Primary examples and current React runtime documentation were reviewed; the runtime was not exercised live in this pass.</x:v>
      </x:c>
      <x:c r="Q63" s="3" t="str">
        <x:v>GPU vector rendering options; low-level API can share one canvas across artboards. Oct10 release reduces per-pass WebGL synchronization stalls. Profile real assets, pixel ratio, layout and active instances; no benchmark reproduced.</x:v>
      </x:c>
      <x:c r="R63" s="3" t="str">
        <x:v>Only playback/runtime is included as permissive OSS. Rive Editor, export entitlements, assets and fonts have separate terms; this is not a fully open authoring pipeline. Canvas needs explicit semantics/focus support and reduced-motion fallbacks. WASM load/GPU cost can exceed simple CSS motion.</x:v>
      </x:c>
      <x:c r="S63" s="11" t="d">
        <x:v>2026-10-10T12:00:00.000Z</x:v>
      </x:c>
      <x:c r="T63" s="3" t="str">
        <x:v>2.44.2 (latest observed Web release)</x:v>
      </x:c>
      <x:c r="U63" s="11" t="d">
        <x:v>2026-10-17T12:00:00.000Z</x:v>
      </x:c>
      <x:c r="V63" s="3" t="str">
        <x:v>verified_active_within_6_months</x:v>
      </x:c>
      <x:c r="W63" s="3" t="str">
        <x:v>pass</x:v>
      </x:c>
      <x:c r="X63" s="3" t="n">
        <x:v>1000</x:v>
      </x:c>
      <x:c r="Y63" s="11" t="d">
        <x:v>2026-10-17T12:00:00.000Z</x:v>
      </x:c>
      <x:c r="Z63" s="3" t="str">
        <x:v>Rive</x:v>
      </x:c>
      <x:c r="AA63" s="3" t="str">
        <x:v>https://github.com/rive-app/rive-wasm/blob/master/LICENSE</x:v>
      </x:c>
      <x:c r="AB63" s="3" t="str">
        <x:v>https://github.com/rive-app/rive-wasm/releases/tag/2.44.2; https://github.com/rive-app/rive-runtime/commit/47d1cd54ccefd468db7cb26ecc4699ae1723dd85; https://github.com/rive-app/rive-wasm/commit/8e3484b8d90a73bf51c8ff505d6977e547703177; https://api.github.com/repos/rive-app/rive-wasm/releases?per_page=2</x:v>
      </x:c>
      <x:c r="AC63" s="3" t="str">
        <x:v>https://github.com/rive-app/rive-runtime/blob/main/LICENSE; https://github.com/rive-app/rive-wasm/blob/master/README.md; https://github.com/rive-app/rive-react/blob/main/README.md; https://github.com/rive-app/rive-wasm/releases/tag/2.44.2</x:v>
      </x:c>
      <x:c r="AD63" s="3" t="str">
        <x:v>Published example/docs reviewed; browser verification and benchmark limits are stated in visual_basis.</x:v>
      </x:c>
      <x:c r="AE63" s="3" t="str">
        <x:v>Use when: a designed mascot, onboarding illustration or stateful product graphic benefits from animation/state machines and an asset-authoring path already exists. Avoid when: ordinary buttons, menus or layout transitions can use DOM/CSS/Motion, or an entirely OSS authoring workflow is required. Alternatives: motion,animejs; Lottie-web failed maintenance gate. Effort: medium integration plus high asset-authoring effort. Stars refer to Web binding repo, not aggregate ecosystem.</x:v>
      </x:c>
      <x:c r="AF63" s="11" t="d">
        <x:v>2026-10-17T12:00:00.000Z</x:v>
      </x:c>
      <x:c r="AG63" s="3" t="str">
        <x:v>Authored animation runtime</x:v>
      </x:c>
      <x:c r="AH63" s="22" t="n">
        <x:v>82</x:v>
      </x:c>
      <x:c r="AI63" s="23" t="n">
        <x:v>5</x:v>
      </x:c>
      <x:c r="AJ63" s="23" t="n">
        <x:v>5</x:v>
      </x:c>
      <x:c r="AK63" s="23" t="n">
        <x:v>2</x:v>
      </x:c>
      <x:c r="AL63" s="23" t="n">
        <x:v>4</x:v>
      </x:c>
      <x:c r="AM63" s="23" t="n">
        <x:v>4</x:v>
      </x:c>
      <x:c r="AN63" s="23" t="n">
        <x:v>5</x:v>
      </x:c>
      <x:c r="AO63" s="23" t="n">
        <x:v>5</x:v>
      </x:c>
      <x:c r="AP63" s="23" t="n">
        <x:v>2</x:v>
      </x:c>
      <x:c r="AQ63" s="3" t="str">
        <x:v>high</x:v>
      </x:c>
      <x:c r="AR63" s="3" t="str">
        <x:v>Use MIT playback runtimes for designer-authored interactive state-machine assets.</x:v>
      </x:c>
      <x:c r="AS63" s="3" t="str">
        <x:v>The Rive authoring editor/assets have separate terms; avoid using it for ordinary DOM layout transitions.</x:v>
      </x:c>
      <x:c r="AT63" s="3" t="str">
        <x:v>Motion; Anime.js</x:v>
      </x:c>
      <x:c r="AU63" s="3" t="str">
        <x:v>https://github.com/rive-app/rive-wasm#readme</x:v>
      </x:c>
      <x:c r="AV63" s="3" t="str">
        <x:v>Integration documentation; this link is guidance, not an additional live demonstration.</x:v>
      </x:c>
      <x:c r="AW63" s="3" t="str">
        <x:v>documented</x:v>
      </x:c>
      <x:c r="AX63" s="3" t="str">
        <x:v>qualified_named_core_scope</x:v>
      </x:c>
    </x:row>
  </x:sheetData>
  <x:pageMargins left="0.7" right="0.7" top="0.75" bottom="0.75" header="0.3" footer="0.3"/>
  <x:tableParts count="1">
    <x:tablePart xmlns:r="http://schemas.openxmlformats.org/officeDocument/2006/relationships" r:id="R1dc50879300749c3"/>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36" hidden="0" customWidth="1"/>
    <x:col min="3" max="3" width="12" hidden="0" customWidth="1"/>
    <x:col min="4" max="4" width="68" hidden="0" customWidth="1"/>
    <x:col min="5" max="5" width="90" hidden="0" customWidth="1"/>
    <x:col min="6" max="6" width="85" hidden="0" customWidth="1"/>
    <x:col min="7" max="7" width="85" hidden="0" customWidth="1"/>
    <x:col min="8" max="8" width="68" hidden="0" customWidth="1"/>
  </x:cols>
  <x:sheetData>
    <x:row r="1" ht="38" hidden="0" customHeight="1">
      <x:c r="A1" s="20" t="str">
        <x:v>ID</x:v>
      </x:c>
      <x:c r="B1" s="20" t="str">
        <x:v>Category</x:v>
      </x:c>
      <x:c r="C1" s="20" t="str">
        <x:v>Priority</x:v>
      </x:c>
      <x:c r="D1" s="20" t="str">
        <x:v>Curated tools (3-6)</x:v>
      </x:c>
      <x:c r="E1" s="20" t="str">
        <x:v>Guide questions</x:v>
      </x:c>
      <x:c r="F1" s="20" t="str">
        <x:v>Starter-list changes</x:v>
      </x:c>
      <x:c r="G1" s="20" t="str">
        <x:v>Gap or custom work</x:v>
      </x:c>
      <x:c r="H1" s="20" t="str">
        <x:v>Other supporting fits</x:v>
      </x:c>
    </x:row>
    <x:row r="2" ht="36" hidden="0" customHeight="1">
      <x:c r="A2" s="3" t="str">
        <x:v>A1</x:v>
      </x:c>
      <x:c r="B2" s="3" t="str">
        <x:v>Colour and tokens</x:v>
      </x:c>
      <x:c r="C2" s="3" t="str">
        <x:v>P1</x:v>
      </x:c>
      <x:c r="D2" s="3" t="str">
        <x:v>Tailwind CSS; Style Dictionary; Open Props; shadcn/ui</x:v>
      </x:c>
      <x:c r="E2" s="3" t="str">
        <x:v>What semantic roles must remain stable across light, dark and high-contrast themes?
How are OKLCH gamut fallbacks and text/non-text contrast checked?
How are token source, generated CSS and component overrides versioned?</x:v>
      </x:c>
      <x:c r="F2" s="3" t="str">
        <x:v>Keep Tailwind theme and Style Dictionary as complementary layers. Keep Radix Colors as a palette reference; do not treat a colour scale as a contrast guarantee. Add Open Props for reusable surface/motion scales.</x:v>
      </x:c>
      <x:c r="G2" s="3" t="str">
        <x:v>No universal palette can guarantee contrast across arbitrary generated backgrounds, transparency and chart colours; add automated contrast checks plus visual review.</x:v>
      </x:c>
      <x:c r="H2" s="3" t="str"/>
    </x:row>
    <x:row r="3" ht="36" hidden="0" customHeight="1">
      <x:c r="A3" s="8" t="str">
        <x:v>A2</x:v>
      </x:c>
      <x:c r="B3" s="8" t="str">
        <x:v>Typography</x:v>
      </x:c>
      <x:c r="C3" s="8" t="str">
        <x:v>P2</x:v>
      </x:c>
      <x:c r="D3" s="8" t="str">
        <x:v>Fontsource; Tailwind CSS; Style Dictionary; Open Props</x:v>
      </x:c>
      <x:c r="E3" s="8" t="str">
        <x:v>Which variable axes, scripts and numeral features are required?
What are the type roles for dense app chrome versus reading and marketing?
What fallback metrics and font-loading policy prevent layout shift?</x:v>
      </x:c>
      <x:c r="F3" s="8" t="str">
        <x:v>Prioritise Fontsource plus a documented scale. Utopia and Capsize remain optional techniques to assess separately; fluid marketing typography should not silently shrink app labels.</x:v>
      </x:c>
      <x:c r="G3" s="8" t="str">
        <x:v>A font loader does not supply a type system. Font binary licences must be recorded per family.</x:v>
      </x:c>
      <x:c r="H3" s="3" t="str"/>
    </x:row>
    <x:row r="4" ht="36" hidden="0" customHeight="1">
      <x:c r="A4" s="3" t="str">
        <x:v>A3</x:v>
      </x:c>
      <x:c r="B4" s="3" t="str">
        <x:v>Layout, spacing and density</x:v>
      </x:c>
      <x:c r="C4" s="3" t="str">
        <x:v>P2</x:v>
      </x:c>
      <x:c r="D4" s="3" t="str">
        <x:v>Tailwind CSS; Style Dictionary; Open Props; react-resizable-panels</x:v>
      </x:c>
      <x:c r="E4" s="3" t="str">
        <x:v>What changes between compact, comfortable and focused density modes?
Which regions scroll independently, and which controls remain anchored?
What are minimum pane sizes, text truncation rules and keyboard resize behaviours?</x:v>
      </x:c>
      <x:c r="F4" s="3" t="str">
        <x:v>Keep Tailwind and native container queries. Use Every Layout as conceptual reference rather than assuming its examples form a complete app-shell library. Add resizable panels for editor-class briefs.</x:v>
      </x:c>
      <x:c r="G4" s="3" t="str">
        <x:v>No library chooses a correct information density automatically; define target window sizes and content stress cases.</x:v>
      </x:c>
      <x:c r="H4" s="3" t="str"/>
    </x:row>
    <x:row r="5" ht="36" hidden="0" customHeight="1">
      <x:c r="A5" s="8" t="str">
        <x:v>A4</x:v>
      </x:c>
      <x:c r="B5" s="8" t="str">
        <x:v>Materials, depth and elevation</x:v>
      </x:c>
      <x:c r="C5" s="8" t="str">
        <x:v>P1</x:v>
      </x:c>
      <x:c r="D5" s="8" t="str">
        <x:v>Tailwind CSS; Open Props; Style Dictionary; shadcn/ui</x:v>
      </x:c>
      <x:c r="E5" s="8" t="str">
        <x:v>Which layer roles justify translucency or elevation?
How do dark mode, reduced transparency and unsupported blur fall back?
How much compositing cost and contrast loss does glass introduce over live maps/video?</x:v>
      </x:c>
      <x:c r="F5" s="8" t="str">
        <x:v>Add a semantic elevation/material scale before copying Liquid Glass. Native CSS supplies the effect; it is not an OSS package requiring a GitHub-release test. Prefer Geist material guidance for web desktop implementation.</x:v>
      </x:c>
      <x:c r="G5" s="8" t="str">
        <x:v>No broadly safe drop-in Liquid Glass system was selected. Glass should remain situational over dynamic content.</x:v>
      </x:c>
      <x:c r="H5" s="3" t="str"/>
    </x:row>
    <x:row r="6" ht="48" hidden="0" customHeight="1">
      <x:c r="A6" s="3" t="str">
        <x:v>A5</x:v>
      </x:c>
      <x:c r="B6" s="3" t="str">
        <x:v>Motion and animation</x:v>
      </x:c>
      <x:c r="C6" s="3" t="str">
        <x:v>P1</x:v>
      </x:c>
      <x:c r="D6" s="3" t="str">
        <x:v>Motion; Anime.js; Rive Web runtime (MIT playback; separate authoring); Lenis; NumberFlow</x:v>
      </x:c>
      <x:c r="E6" s="3" t="str">
        <x:v>What purpose does each animation serve, and can it be interrupted?
Which motion tokens and spring settings recur across the application?
What replaces movement under reduced-motion preferences?
Which effects keep transforms/opacity on efficient rendering paths?</x:v>
      </x:c>
      <x:c r="F6" s="3" t="str">
        <x:v>Make Motion the React default. GSAP is free to use but uses a restrictive custom licence, so keep it outside the permissive OSS list. Separate browser-native APIs from package recommendations; Rive/Lottie need runtime/editor/asset licence separation.</x:v>
      </x:c>
      <x:c r="G6" s="3" t="str">
        <x:v>No performance guarantee follows from choosing a motion library; test representative compound interactions at the target refresh rate.</x:v>
      </x:c>
      <x:c r="H6" s="3" t="str">
        <x:v>Open Props; Style Dictionary; Tailwind CSS; Kokonut UI (free components); PixiJS</x:v>
      </x:c>
    </x:row>
    <x:row r="7" ht="48" hidden="0" customHeight="1">
      <x:c r="A7" s="8" t="str">
        <x:v>A6</x:v>
      </x:c>
      <x:c r="B7" s="8" t="str">
        <x:v>States and micro-interactions</x:v>
      </x:c>
      <x:c r="C7" s="8" t="str">
        <x:v>P1</x:v>
      </x:c>
      <x:c r="D7" s="8" t="str">
        <x:v>Motion; Sonner; NumberFlow; TanStack Query; Base UI; Kokonut UI (free components)</x:v>
      </x:c>
      <x:c r="E7" s="8" t="str">
        <x:v>Which states exist before, during and after each mutation?
When is optimism safe, and what exact rollback or undo is available?
What feedback is persistent, transient or announced to assistive technology?
How are rapid repeated changes coalesced?</x:v>
      </x:c>
      <x:c r="F7" s="8" t="str">
        <x:v>Keep Sonner, NumberFlow and TanStack Query; give each a distinct job. Toasts are presentation, Query is async state, and NumberFlow is decorative numeric interpolation.</x:v>
      </x:c>
      <x:c r="G7" s="8" t="str">
        <x:v>Undo, retry and conflict recovery are application contracts; no toast or animation package implements them automatically.</x:v>
      </x:c>
      <x:c r="H7" s="3" t="str">
        <x:v>nuqs; Ark UI; Rive Web runtime (MIT playback; separate authoring)</x:v>
      </x:c>
    </x:row>
    <x:row r="8" ht="36" hidden="0" customHeight="1">
      <x:c r="A8" s="3" t="str">
        <x:v>A7</x:v>
      </x:c>
      <x:c r="B8" s="3" t="str">
        <x:v>Accessibility</x:v>
      </x:c>
      <x:c r="C8" s="3" t="str">
        <x:v>P1</x:v>
      </x:c>
      <x:c r="D8" s="3" t="str">
        <x:v>React Aria Components; Base UI; Radix Primitives; Mantine; Ark UI</x:v>
      </x:c>
      <x:c r="E8" s="3" t="str">
        <x:v>What keyboard model, focus order and focus-restoration rules does each composite widget use?
How are canvas/chart information and live updates available without vision or a pointer?
How are reduced motion, forced colours, zoom and screen readers tested?</x:v>
      </x:c>
      <x:c r="F8" s="3" t="str">
        <x:v>Keep React Aria and Radix; add Base UI as an actively maintained headless option. Flag axe-core as MPL-2.0 copyleft rather than permissive; use it as test tooling only under a deliberate licence policy.</x:v>
      </x:c>
      <x:c r="G8" s="3" t="str">
        <x:v>Automated checks cannot certify accessible output, particularly for canvas, graphs, grids and live collaboration.</x:v>
      </x:c>
      <x:c r="H8" s="3" t="str"/>
    </x:row>
    <x:row r="9" ht="48" hidden="0" customHeight="1">
      <x:c r="A9" s="8" t="str">
        <x:v>A8</x:v>
      </x:c>
      <x:c r="B9" s="8" t="str">
        <x:v>Performance and smoothness</x:v>
      </x:c>
      <x:c r="C9" s="8" t="str">
        <x:v>P2</x:v>
      </x:c>
      <x:c r="D9" s="8" t="str">
        <x:v>TanStack Virtual; AG Grid Community; Fontsource; PixiJS</x:v>
      </x:c>
      <x:c r="E9" s="8" t="str">
        <x:v>What dataset, update rate and window size define the desktop performance budget?
Which work is measured on the main thread, worker and GPU?
How are long tasks, input latency, frame pacing and layout shifts measured?
What is the accessible fallback for virtualised or GPU-rendered content?</x:v>
      </x:c>
      <x:c r="F9" s="8" t="str">
        <x:v>Keep TanStack Virtual. web-vitals is measurement rather than a rendering solution; measure it alongside interaction traces. Do not select react-window merely for familiarity without comparing current feature needs.</x:v>
      </x:c>
      <x:c r="G9" s="8" t="str">
        <x:v>All performance notes are architectural guidance; no same-task desktop benchmark was run in this research pass.</x:v>
      </x:c>
      <x:c r="H9" s="3" t="str"/>
    </x:row>
    <x:row r="10" ht="36" hidden="0" customHeight="1">
      <x:c r="A10" s="3" t="str">
        <x:v>A9</x:v>
      </x:c>
      <x:c r="B10" s="3" t="str">
        <x:v>Content and microcopy</x:v>
      </x:c>
      <x:c r="C10" s="3" t="str">
        <x:v>P3</x:v>
      </x:c>
      <x:c r="D10" s="3" t="str"/>
      <x:c r="E10" s="3" t="str">
        <x:v>Does each error explain what happened, its consequence and the next action?
What vocabulary distinguishes draft, saving, saved, failed and irreversible actions?
How are AI uncertainty, data freshness and limitations stated without clutter?</x:v>
      </x:c>
      <x:c r="F10" s="3" t="str">
        <x:v>Keep this as a guide/reference category, as the starter correctly suggests. Do not add a generic copy-generation dependency to satisfy a tool quota.</x:v>
      </x:c>
      <x:c r="G10" s="3" t="str">
        <x:v>Intentional zero-tool shortlist: microcopy quality comes from content rules, task context and review, not a UI package. Shortlist intentionally has fewer than three tools here; the gap is better served by guidance or custom implementation than by padding the catalogue.</x:v>
      </x:c>
      <x:c r="H10" s="3" t="str"/>
    </x:row>
    <x:row r="11" ht="36" hidden="0" customHeight="1">
      <x:c r="A11" s="8" t="str">
        <x:v>A10</x:v>
      </x:c>
      <x:c r="B11" s="8" t="str">
        <x:v>Icons and imagery</x:v>
      </x:c>
      <x:c r="C11" s="8" t="str">
        <x:v>P3</x:v>
      </x:c>
      <x:c r="D11" s="8" t="str">
        <x:v>Lucide; shadcn/ui; Base UI</x:v>
      </x:c>
      <x:c r="E11" s="8" t="str">
        <x:v>What icon size, stroke and optical alignment rules apply at each density?
Which actions require text labels rather than icons alone?
What is the image/portrait fallback and what licences cover the assets?</x:v>
      </x:c>
      <x:c r="F11" s="8" t="str">
        <x:v>Use Lucide as the default rather than blending three icon languages. Heroicons and Phosphor remain visual references; avatar components cover identity fallback but are not illustration libraries.</x:v>
      </x:c>
      <x:c r="G11" s="8" t="str">
        <x:v>The shortlist covers icons and avatars. No stock illustration/image collection is selected or implied to have uniform reuse rights.</x:v>
      </x:c>
      <x:c r="H11" s="3" t="str"/>
    </x:row>
    <x:row r="12" ht="36" hidden="0" customHeight="1">
      <x:c r="A12" s="3" t="str">
        <x:v>B1</x:v>
      </x:c>
      <x:c r="B12" s="3" t="str">
        <x:v>App shell and navigation</x:v>
      </x:c>
      <x:c r="C12" s="3" t="str">
        <x:v>P1</x:v>
      </x:c>
      <x:c r="D12" s="3" t="str">
        <x:v>shadcn/ui; Mantine; Dockview (MIT core); react-resizable-panels; Radix Primitives; nuqs</x:v>
      </x:c>
      <x:c r="E12" s="3" t="str">
        <x:v>What are the workspace, project and object levels in navigation?
Which state is preserved per workspace, per user and per device?
How do collapsed navigation, breadcrumbs and back behaviour communicate location?</x:v>
      </x:c>
      <x:c r="F12" s="3" t="str">
        <x:v>Add implementation sources: shadcn for ownable chrome, Mantine for a complete shell, Dockview only for workspaces that need docking. Replace Arc as a default reference with maintained desktop navigation examples.</x:v>
      </x:c>
      <x:c r="G12" s="3" t="str">
        <x:v>Shell composition still needs product-level information architecture; a sidebar component does not define it.</x:v>
      </x:c>
      <x:c r="H12" s="3" t="str">
        <x:v>Ark UI</x:v>
      </x:c>
    </x:row>
    <x:row r="13" ht="36" hidden="0" customHeight="1">
      <x:c r="A13" s="8" t="str">
        <x:v>B2</x:v>
      </x:c>
      <x:c r="B13" s="8" t="str">
        <x:v>Command palette and shortcuts</x:v>
      </x:c>
      <x:c r="C13" s="8" t="str">
        <x:v>P1</x:v>
      </x:c>
      <x:c r="D13" s="8" t="str">
        <x:v>Mantine; React Aria Components; Base UI</x:v>
      </x:c>
      <x:c r="E13" s="8" t="str">
        <x:v>How are commands discovered, ranked and scoped to current context?
Which shortcuts are reserved, remappable or disabled inside text fields?
How do async results, no matches and destructive commands behave?</x:v>
      </x:c>
      <x:c r="F13" s="8" t="str">
        <x:v>cmdk now lives at dip/cmdk and fails the six-month activity gate (last commit 2025-10-29; release 2025-03-14). Prefer Mantine Spotlight for ready-made UI or compose React Aria/Base UI primitives; assess kbar/Ninja Keys separately rather than inheriting them automatically.</x:v>
      </x:c>
      <x:c r="G13" s="8" t="str">
        <x:v>Only Spotlight is a complete command palette here; React Aria/Base UI are composition building blocks. Permission checks, ranking and command execution remain application work.</x:v>
      </x:c>
      <x:c r="H13" s="3" t="str"/>
    </x:row>
    <x:row r="14" ht="48" hidden="0" customHeight="1">
      <x:c r="A14" s="3" t="str">
        <x:v>B3</x:v>
      </x:c>
      <x:c r="B14" s="3" t="str">
        <x:v>Panels, docking and split layouts</x:v>
      </x:c>
      <x:c r="C14" s="3" t="str">
        <x:v>P2</x:v>
      </x:c>
      <x:c r="D14" s="3" t="str">
        <x:v>Dockview (MIT core); react-resizable-panels; React Grid Layout</x:v>
      </x:c>
      <x:c r="E14" s="3" t="str">
        <x:v>Is resizing enough, or are tab docking, floating windows and saved layouts required?
What happens to expensive rendering during resize or drag?
How are focus, persistence, reset and minimum sizes handled?</x:v>
      </x:c>
      <x:c r="F14" s="3" t="str">
        <x:v>Promote Dockview MIT core and react-resizable-panels as two distinct defaults. Verify package boundaries after Dockview's enterprise introduction. Do not carry Golden Layout/FlexLayout forward without a same-task maintenance/interaction comparison. Add React Grid Layout when the workspace needs movable/resizable dashboard tiles; it does not provide dockable tab groups.</x:v>
      </x:c>
      <x:c r="G14" s="3" t="str">
        <x:v>Three distinct workspace models are selected: split panes, dockable tabs and dashboard tiles. Choose by interaction model; none supplies the others automatically.</x:v>
      </x:c>
      <x:c r="H14" s="3" t="str"/>
    </x:row>
    <x:row r="15" ht="36" hidden="0" customHeight="1">
      <x:c r="A15" s="8" t="str">
        <x:v>B4</x:v>
      </x:c>
      <x:c r="B15" s="8" t="str">
        <x:v>Overlays</x:v>
      </x:c>
      <x:c r="C15" s="8" t="str">
        <x:v>P1</x:v>
      </x:c>
      <x:c r="D15" s="8" t="str">
        <x:v>Base UI; React Aria Components; Radix Primitives; Sonner; Ark UI</x:v>
      </x:c>
      <x:c r="E15" s="8" t="str">
        <x:v>When is a modal justified versus a popover, panel or inline message?
What closes the overlay, where does focus return, and what happens to unsaved work?
How do nested portals, scrolling and z-index bands interact?</x:v>
      </x:c>
      <x:c r="F15" s="8" t="str">
        <x:v>Replace Vaul as a new default: its README explicitly says it is unmaintained. Base UI now includes Drawer for gesture/snap-point needs. Floating UI remains a positioning building block, not a full dialog/accessibility system.</x:v>
      </x:c>
      <x:c r="G15" s="8" t="str">
        <x:v>Choose one overlay/focus engine for the shell where possible; integrating several creates interaction risks.</x:v>
      </x:c>
      <x:c r="H15" s="3" t="str"/>
    </x:row>
    <x:row r="16" ht="36" hidden="0" customHeight="1">
      <x:c r="A16" s="3" t="str">
        <x:v>B5</x:v>
      </x:c>
      <x:c r="B16" s="3" t="str">
        <x:v>Forms and inputs</x:v>
      </x:c>
      <x:c r="C16" s="3" t="str">
        <x:v>P2</x:v>
      </x:c>
      <x:c r="D16" s="3" t="str">
        <x:v>React Hook Form; React Aria Components; Base UI; Mantine; Ark UI</x:v>
      </x:c>
      <x:c r="E16" s="3" t="str">
        <x:v>What data precision, locale and time-zone constraints apply?
When is validation shown, and how does server rejection map to fields?
How are draft recovery, dirty state and async race conditions handled?</x:v>
      </x:c>
      <x:c r="F16" s="3" t="str">
        <x:v>Keep React Hook Form and React Aria date controls. Add Base UI for numeric and combobox interactions. Downshift is optional low-level behaviour; do not combine overlapping input engines without a reason.</x:v>
      </x:c>
      <x:c r="G16" s="3" t="str">
        <x:v>Precision-safe financial values, server validation and identity/payment flows require domain logic beyond components.</x:v>
      </x:c>
      <x:c r="H16" s="3" t="str"/>
    </x:row>
    <x:row r="17" ht="48" hidden="0" customHeight="1">
      <x:c r="A17" s="8" t="str">
        <x:v>B6</x:v>
      </x:c>
      <x:c r="B17" s="8" t="str">
        <x:v>Tables and data grids</x:v>
      </x:c>
      <x:c r="C17" s="8" t="str">
        <x:v>P1</x:v>
      </x:c>
      <x:c r="D17" s="8" t="str">
        <x:v>TanStack Table; AG Grid Community; React Aria Components; shadcn/ui; VisActor VTable</x:v>
      </x:c>
      <x:c r="E17" s="8" t="str">
        <x:v>Does the task need a semantic table, spreadsheet interaction or a live market grid?
Which row count, columns, edit frequency and render budget are required?
How do keyboard navigation, selection and virtualisation coexist?
Which required features cross a commercial edition boundary?</x:v>
      </x:c>
      <x:c r="F17" s="8" t="str">
        <x:v>Use TanStack Table+Virtual for full visual ownership; AG Grid Community for a full grid. Handsontable is not a permissive commercial-use default. Do not infer Enterprise capabilities from AG Grid flagship demos.</x:v>
      </x:c>
      <x:c r="G17" s="8" t="str">
        <x:v>Spreadsheet-grade formulas, pivoting and advanced grid editing often cross licence/complexity boundaries; verify the exact feature list.</x:v>
      </x:c>
      <x:c r="H17" s="3" t="str"/>
    </x:row>
    <x:row r="18" ht="36" hidden="0" customHeight="1">
      <x:c r="A18" s="3" t="str">
        <x:v>B7</x:v>
      </x:c>
      <x:c r="B18" s="3" t="str">
        <x:v>Search and filtering</x:v>
      </x:c>
      <x:c r="C18" s="3" t="str">
        <x:v>P2</x:v>
      </x:c>
      <x:c r="D18" s="3" t="str">
        <x:v>React Query Builder; nuqs; TanStack Table; React Aria Components; Base UI; Mantine</x:v>
      </x:c>
      <x:c r="E18" s="3" t="str">
        <x:v>Is search local, remote or hybrid, and what should latency feel like?
Which filters persist in the URL, saved view and user preferences?
How are empty results, invalid queries and natural-language interpretation explained?</x:v>
      </x:c>
      <x:c r="F18" s="3" t="str">
        <x:v>Keep react-querybuilder as a separate complex-query candidate to assess. Algolia InstantSearch components do not make the hosted search service open source; choose index/backend separately. Second pass: add nuqs for typed/shareable URL state and React Query Builder for explicit nested rule construction.</x:v>
      </x:c>
      <x:c r="G18" s="3" t="str">
        <x:v>This shortlist covers filtering UI and local table state; no search backend or relevance engine is selected.</x:v>
      </x:c>
      <x:c r="H18" s="3" t="str">
        <x:v>Ark UI</x:v>
      </x:c>
    </x:row>
    <x:row r="19" ht="36" hidden="0" customHeight="1">
      <x:c r="A19" s="8" t="str">
        <x:v>B8</x:v>
      </x:c>
      <x:c r="B19" s="8" t="str">
        <x:v>Empty, loading and error states</x:v>
      </x:c>
      <x:c r="C19" s="8" t="str">
        <x:v>P2</x:v>
      </x:c>
      <x:c r="D19" s="8" t="str">
        <x:v>shadcn/ui; TanStack Query; React Hook Form; Sonner; Rive Web runtime (MIT playback; separate authoring)</x:v>
      </x:c>
      <x:c r="E19" s="8" t="str">
        <x:v>Is the state first-use, filtered-empty, stale, offline, partial-failure or permission denied?
Can existing content remain visible during background work?
What action restores progress, and how is state announced?</x:v>
      </x:c>
      <x:c r="F19" s="8" t="str">
        <x:v>Add concrete state components plus Query/RHF state management. Specify state behaviour in the guide rather than showing one generic empty illustration everywhere.</x:v>
      </x:c>
      <x:c r="G19" s="8" t="str">
        <x:v>No package can infer the correct state cause or recovery action; the generator needs an explicit state matrix.</x:v>
      </x:c>
      <x:c r="H19" s="3" t="str"/>
    </x:row>
    <x:row r="20" ht="36" hidden="0" customHeight="1">
      <x:c r="A20" s="3" t="str">
        <x:v>B9</x:v>
      </x:c>
      <x:c r="B20" s="3" t="str">
        <x:v>Onboarding and first run</x:v>
      </x:c>
      <x:c r="C20" s="3" t="str">
        <x:v>P2</x:v>
      </x:c>
      <x:c r="D20" s="3" t="str">
        <x:v>Driver.js; Mantine; React Hook Form; Ark UI; Rive Web runtime (MIT playback; separate authoring)</x:v>
      </x:c>
      <x:c r="E20" s="3" t="str">
        <x:v>What is the minimum action that gets a user to useful output?
Which steps can be skipped, resumed or completed later?
How does onboarding adapt to an existing workspace, imported data and experienced users?</x:v>
      </x:c>
      <x:c r="F20" s="3" t="str">
        <x:v>Add Driver.js for tours/checklists and Mantine/RHF for setup flows. Keep product references separate from onboarding infrastructure; an overlay tour is optional teaching, not the onboarding strategy.</x:v>
      </x:c>
      <x:c r="G20" s="3" t="str">
        <x:v>No universal first-run flow fits all ten scenarios; use scenario-specific activation milestones and saved progress.</x:v>
      </x:c>
      <x:c r="H20" s="3" t="str"/>
    </x:row>
    <x:row r="21" ht="36" hidden="0" customHeight="1">
      <x:c r="A21" s="8" t="str">
        <x:v>B10</x:v>
      </x:c>
      <x:c r="B21" s="8" t="str">
        <x:v>Notifications and activity</x:v>
      </x:c>
      <x:c r="C21" s="8" t="str">
        <x:v>P3</x:v>
      </x:c>
      <x:c r="D21" s="8" t="str">
        <x:v>Sonner; Base UI; Mantine; TanStack Query; Novu open-core Inbox</x:v>
      </x:c>
      <x:c r="E21" s="8" t="str">
        <x:v>What deserves a transient toast, durable inbox item or interrupting alert?
How are duplicates, priority, read state, snooze and digest preferences handled?
What source object and action does each event point to?</x:v>
      </x:c>
      <x:c r="F21" s="8" t="str">
        <x:v>Do not equate Sonner with Novu/Knock: toast presentation and notification delivery/inbox infrastructure are different layers. Keep paid-only Knock outside the OSS tool list; evaluate any Novu package and backend separately. Second pass: Novu open-core Inbox fills the durable-inbox/workflow gap; Sonner remains transient feedback.</x:v>
      </x:c>
      <x:c r="G21" s="8" t="str">
        <x:v>Durable inbox now has a scoped Novu option. Delivery channels, persistence, preferences and Enterprise boundaries still require architecture and licence decisions.</x:v>
      </x:c>
      <x:c r="H21" s="3" t="str"/>
    </x:row>
    <x:row r="22" ht="48" hidden="0" customHeight="1">
      <x:c r="A22" s="3" t="str">
        <x:v>C1</x:v>
      </x:c>
      <x:c r="B22" s="3" t="str">
        <x:v>Charts</x:v>
      </x:c>
      <x:c r="C22" s="3" t="str">
        <x:v>–</x:v>
      </x:c>
      <x:c r="D22" s="3" t="str">
        <x:v>Recharts; Apache ECharts; Lightweight Charts</x:v>
      </x:c>
      <x:c r="E22" s="3" t="str">
        <x:v>What question does each chart answer, and which marks/axes support it without decoration?
When must the generator switch from SVG to Canvas/GPU or aggregation?
How do linked tooltips, keyboard alternatives and accessible data summaries behave?
Which motion is informative, and when are live updates throttled or paused?</x:v>
      </x:c>
      <x:c r="F22" s="3" t="str">
        <x:v>Preserve the handbook's tested defaults: Recharts for normal charts, ECharts for heavy analytics, Lightweight Charts for finance. New release dates refresh maintenance; these editorial visual ratings do not replace existing benchmark scores. Retain uPlot as a specialist telemetry baseline, not a new visual default.</x:v>
      </x:c>
      <x:c r="G22" s="3" t="str">
        <x:v>No visually qualified high-volume GPU time-series default selected. Recharts is SVG; ECharts is Canvas/SVG; Lightweight Charts is Canvas. Active MIT Plotly.js scattergl is a fallback for a dedicated themed scale benchmark. deck.gl map layers do not fill this chart gap.</x:v>
      </x:c>
      <x:c r="H22" s="3" t="str"/>
    </x:row>
    <x:row r="23" ht="48" hidden="0" customHeight="1">
      <x:c r="A23" s="8" t="str">
        <x:v>C2</x:v>
      </x:c>
      <x:c r="B23" s="8" t="str">
        <x:v>Dashboards and analytics</x:v>
      </x:c>
      <x:c r="C23" s="8" t="str">
        <x:v>P1</x:v>
      </x:c>
      <x:c r="D23" s="8" t="str">
        <x:v>React Grid Layout; Recharts; Apache ECharts; TanStack Table; TanStack Virtual; nuqs</x:v>
      </x:c>
      <x:c r="E23" s="8" t="str">
        <x:v>Which KPI is primary, which baseline/time window accompanies it, and how is its definition exposed?
Which filters are global versus widget-specific, and how do users see/reset that scope?
Is rearrangement genuinely required, or would fixed CSS Grid preserve hierarchy better?
How are partial data failures, stale results and loading-with-previous-data presented?</x:v>
      </x:c>
      <x:c r="F23" s="8" t="str">
        <x:v>Keep react-grid-layout only for saved user-customizable dashboards; it supplies layout rather than bento design. Defer Evidence/Observable Framework unless the generated output is a reporting site: they are not drop-in interactive app shells. Reuse chart primitives rather than accumulating dashboard kits.</x:v>
      </x:c>
      <x:c r="G23" s="8" t="str">
        <x:v>No single permissive component provides trustworthy KPI definitions, shared filter semantics and NL-query verification; these remain product patterns/data contracts.</x:v>
      </x:c>
      <x:c r="H23" s="3" t="str">
        <x:v>kepler.gl; React Query Builder; Kokonut UI (free components); VisActor VTable; json-render; OpenUI (Thesys open-source framework)</x:v>
      </x:c>
    </x:row>
    <x:row r="24" ht="48" hidden="0" customHeight="1">
      <x:c r="A24" s="3" t="str">
        <x:v>C3</x:v>
      </x:c>
      <x:c r="B24" s="3" t="str">
        <x:v>Maps and geospatial</x:v>
      </x:c>
      <x:c r="C24" s="3" t="str">
        <x:v>P1</x:v>
      </x:c>
      <x:c r="D24" s="3" t="str">
        <x:v>MapLibre GL JS; deck.gl; kepler.gl</x:v>
      </x:c>
      <x:c r="E24" s="3" t="str">
        <x:v>When should points cluster, aggregate into cells, or become vector tiles?
How are stale positions, time offsets and uncertainty distinguished from live locations?
When does the camera follow a subject, and how can the user interrupt/rejoin it?
What basemap/data/tiles/geocoder costs, attributions and offline behaviours are required?</x:v>
      </x:c>
      <x:c r="F24" s="3" t="str">
        <x:v>Keep MapLibre + deck.gl as complementary defaults; make kepler.gl situational for exploration. Latest kepler activity is alpha, with non-alpha v3.2.6 dated 2026-03-16; pin a reviewed version. Leaflet is useful for simple raster maps but not the striking dense-data default. Mapbox is separately licensed, not the permissive fallback.</x:v>
      </x:c>
      <x:c r="G24" s="3" t="str">
        <x:v>OSS rendering is strong; map-data services, geocoding, tile delivery and accessibility need separate decisions.</x:v>
      </x:c>
      <x:c r="H24" s="3" t="str"/>
    </x:row>
    <x:row r="25" ht="48" hidden="0" customHeight="1">
      <x:c r="A25" s="8" t="str">
        <x:v>C4</x:v>
      </x:c>
      <x:c r="B25" s="8" t="str">
        <x:v>Network graphs</x:v>
      </x:c>
      <x:c r="C25" s="8" t="str">
        <x:v>P2</x:v>
      </x:c>
      <x:c r="D25" s="8" t="str">
        <x:v>Sigma.js + Graphology; React Flow; Apache ECharts; AntV G6</x:v>
      </x:c>
      <x:c r="E25" s="8" t="str">
        <x:v>Is this relationship exploration or editable workflow authoring?
What should remain stable when the user expands/collapses a neighbourhood?
Which labels/edges appear at each zoom level, and how is a searched result made findable?
Where do layout/path algorithms run, and what graph size triggers aggregation?</x:v>
      </x:c>
      <x:c r="F25" s="8" t="str">
        <x:v>Keep Sigma + Graphology for dense networks and React Flow for editable node-based UIs. Avoid treating DOM workflow cards as a substitute for GPU network exploration. Cytoscape/G6 remain valid specialist alternatives, but a small generator default set does not need all renderers at once. Second pass: G6 is a watch alternative for graph-layout/behaviour tooling, distinct from React Flow node-port editing.</x:v>
      </x:c>
      <x:c r="G25" s="8" t="str">
        <x:v>Graph explainability, semantic zoom and accessible traversal are authored interaction patterns; layout alone cannot solve them.</x:v>
      </x:c>
      <x:c r="H25" s="3" t="str"/>
    </x:row>
    <x:row r="26" ht="72" hidden="0" customHeight="1">
      <x:c r="A26" s="3" t="str">
        <x:v>C5</x:v>
      </x:c>
      <x:c r="B26" s="3" t="str">
        <x:v>Timelines and scheduling</x:v>
      </x:c>
      <x:c r="C26" s="3" t="str">
        <x:v>P2</x:v>
      </x:c>
      <x:c r="D26" s="3" t="str">
        <x:v>OpenReel Video (MIT application); FullCalendar Standard; Schedule-X core; wavesurfer.js; Konva; VisActor VTable</x:v>
      </x:c>
      <x:c r="E26" s="3" t="str">
        <x:v>Is the time axis a calendar/timezone, elapsed duration or exact video frame count?
What snap, minimum duration, collision and dependency rules apply?
How do zoom, scrub, scroll and follow-playhead interact without losing the selected range?
What are keyboard alternatives for move/resize, and how is undo presented?</x:v>
      </x:c>
      <x:c r="F26" s="3" t="str">
        <x:v>Split the starter category into calendar scheduling and elapsed-time/media timelines. Add Schedule-X MIT core for fresh styling, but do not assume its starred drag/drop, resize, resource or Gantt plugins are OSS. FullCalendar Standard is MIT; Premium resource timelines are separately licensed. Keep vis-timeline/Frappe Gantt as specialist candidates only after current visual/theming review; do not promote older defaults as a visual benchmark. OpenReel Video is a current full-editor watch candidate for the elapsed-time branch, with alpha maturity and transitive FFmpeg review. Second pass: VTable includes a distinct Gantt package; calendar scheduling and media editing remain separate jobs.</x:v>
      </x:c>
      <x:c r="G26" s="3" t="str">
        <x:v>No one library covers polished calendar scheduling, Gantt dependencies and frame-accurate video editing under one permissive licence.</x:v>
      </x:c>
      <x:c r="H26" s="3" t="str"/>
    </x:row>
    <x:row r="27" ht="48" hidden="0" customHeight="1">
      <x:c r="A27" s="8" t="str">
        <x:v>C6</x:v>
      </x:c>
      <x:c r="B27" s="8" t="str">
        <x:v>Real-time and streaming data</x:v>
      </x:c>
      <x:c r="C27" s="8" t="str">
        <x:v>P2</x:v>
      </x:c>
      <x:c r="D27" s="8" t="str">
        <x:v>Lightweight Charts; Apache ECharts; MapLibre GL JS; deck.gl</x:v>
      </x:c>
      <x:c r="E27" s="8" t="str">
        <x:v>How does the interface disclose live, delayed, reconnecting, stale and disconnected data?
Which updates are batched, sampled or dropped, and what is the visible refresh cadence?
What happens to live-follow when a user pans, selects or pauses?
How are revised/out-of-order events, timestamps and dropped messages reconciled?</x:v>
      </x:c>
      <x:c r="F27" s="8" t="str">
        <x:v>Add explicit source timestamps and stale/reconnect states to the starter patterns. Retain Lightweight Charts for finance; distinguish it from GPU renderers. Keep uPlot for telemetry where its minimal rendering fits; its old release date alone does not prove abandonment because current meaningful commits exist.</x:v>
      </x:c>
      <x:c r="G27" s="8" t="str">
        <x:v>A library can render a stream but cannot guarantee data freshness, feed ordering, market semantics or backpressure.</x:v>
      </x:c>
      <x:c r="H27" s="3" t="str"/>
    </x:row>
    <x:row r="28" ht="48" hidden="0" customHeight="1">
      <x:c r="A28" s="3" t="str">
        <x:v>D1</x:v>
      </x:c>
      <x:c r="B28" s="3" t="str">
        <x:v>3D and WebGL</x:v>
      </x:c>
      <x:c r="C28" s="3" t="str">
        <x:v>–</x:v>
      </x:c>
      <x:c r="D28" s="3" t="str">
        <x:v>React Three Fiber; &lt;model-viewer&gt;; deck.gl</x:v>
      </x:c>
      <x:c r="E28" s="3" t="str">
        <x:v>Does the brief need a single product viewer, a custom scene, or geospatial 3D?
What is the loading/poster experience, asset budget and fallback on low-powered/unsupported GPUs?
When should rendering pause, lower detail/DPR, or respond to reduced motion?
Which controls, labels and configuration states must also exist in accessible DOM UI?</x:v>
      </x:c>
      <x:c r="F28" s="3" t="str">
        <x:v>Keep existing R3F+drei for custom React scenes and model-viewer for a single product; retain their existing handbook benchmark scores separately. Three.js is the underlying engine rather than an additional UI-kit default. Choose WebGPU by capability/benefit after checking the deployed browser, not for branding alone.</x:v>
      </x:c>
      <x:c r="G28" s="3" t="str">
        <x:v>Impressive visuals depend heavily on licensed 3D assets, lighting and material art direction; the renderer cannot supply these automatically.</x:v>
      </x:c>
      <x:c r="H28" s="3" t="str"/>
    </x:row>
    <x:row r="29" ht="48" hidden="0" customHeight="1">
      <x:c r="A29" s="8" t="str">
        <x:v>D2</x:v>
      </x:c>
      <x:c r="B29" s="8" t="str">
        <x:v>Infinite canvas and whiteboards</x:v>
      </x:c>
      <x:c r="C29" s="8" t="str">
        <x:v>P2</x:v>
      </x:c>
      <x:c r="D29" s="8" t="str">
        <x:v>Excalidraw; React Flow; Konva; PixiJS; AntV G6</x:v>
      </x:c>
      <x:c r="E29" s="8" t="str">
        <x:v>Are objects freeform sketches, connected workflow nodes or precision design layers?
How do pointer modes, pan/zoom, lasso and text edit coexist without accidental changes?
Which actions belong to selection, canvas and global command scopes?
What scene size needs culling, lower-detail rendering or image limits?</x:v>
      </x:c>
      <x:c r="F29" s="8" t="str">
        <x:v>Promote Excalidraw for ready sketch UX, React Flow for connected node editing, Konva for a custom scene graph. Move tldraw to a clearly source-available/licensed reference: current production use requires a separate licence. Fabric.js remains a candidate but is not necessary alongside Konva without a specific capability need.</x:v>
      </x:c>
      <x:c r="G29" s="8" t="str">
        <x:v>A custom polished whiteboard still needs persistence, object permissions, asset storage, collaboration, history and keyboard/a11y design.</x:v>
      </x:c>
      <x:c r="H29" s="3" t="str"/>
    </x:row>
    <x:row r="30" ht="48" hidden="0" customHeight="1">
      <x:c r="A30" s="3" t="str">
        <x:v>D3</x:v>
      </x:c>
      <x:c r="B30" s="3" t="str">
        <x:v>Real-time collaboration</x:v>
      </x:c>
      <x:c r="C30" s="3" t="str">
        <x:v>P2</x:v>
      </x:c>
      <x:c r="D30" s="3" t="str">
        <x:v>Yjs; Excalidraw; Tiptap OSS Editor; Lexical; Automerge; Loro</x:v>
      </x:c>
      <x:c r="E30" s="3" t="str">
        <x:v>Which data is persistent document state and which is ephemeral presence?
Who is allowed to read/write which objects, and where is that enforced?
How do offline edits, reconnect, conflicts and per-user undo appear?
How are initial document bootstrapping, schema changes and room history handled safely?</x:v>
      </x:c>
      <x:c r="F30" s="3" t="str">
        <x:v>Keep Yjs as the default mature CRDT ecosystem and judge Automerge/Loro only for a concrete model/history/local-first need. Liveblocks is a paid hosted option, not the permissive equivalent of a self-hosted provider. PartyKit is transport/runtime, not a CRDT. Tiptap/Lexical bindings provide visible editor UI atop the shared state. Second pass: Loro adds movable-tree/list and history semantics as an alternative CRDT model.</x:v>
      </x:c>
      <x:c r="G30" s="3" t="str">
        <x:v>No CRDT automatically supplies auth, durable backend, selective undo semantics or honest reconnect/presence UX.</x:v>
      </x:c>
      <x:c r="H30" s="3" t="str"/>
    </x:row>
    <x:row r="31" ht="84" hidden="0" customHeight="1">
      <x:c r="A31" s="8" t="str">
        <x:v>D4</x:v>
      </x:c>
      <x:c r="B31" s="8" t="str">
        <x:v>Media editing</x:v>
      </x:c>
      <x:c r="C31" s="8" t="str">
        <x:v>P2</x:v>
      </x:c>
      <x:c r="D31" s="8" t="str">
        <x:v>OpenReel Video (MIT application); wavesurfer.js; Konva; Lexical; Kokonut UI (free components); PixiJS</x:v>
      </x:c>
      <x:c r="E31" s="8" t="str">
        <x:v>What is the canonical frame/time model across clips, waveforms, transcript words and the preview?
Which operations require exact frame snapping, ripple edits, transitions or linked audio/video?
What stays responsive while decoding, generating peaks, scrubbing or exporting?
How do missing assets, unsupported codecs, undo and recoverable export errors work?</x:v>
      </x:c>
      <x:c r="F31" s="8" t="str">
        <x:v>Promote wavesurfer for waveforms and treat WebCodecs as a browser primitive, not a library or complete editor. Exclude Remotion from the permissive default: it has a custom company-size/relicensing licence. Exclude ffmpeg.wasm from the current core list: latest release/default-branch evidence is 2025 and its MIT wrapper does not make the FFmpeg core permissive. Konva + Lexical cover only custom visual track/transcript pieces. Add OpenReel Video as an emerging full-editor watch candidate rather than claiming only primitives exist. Its MIT application includes @ffmpeg/core and @ffmpeg/core-mt dependencies; review the actual distributed export build. OpenCut is a separate watch candidate in a ground-up Rust rewrite; current classic demo is not proof the rewrite is ready.</x:v>
      </x:c>
      <x:c r="G31" s="8" t="str">
        <x:v>Maturity and dependency gap, not absence: OpenReel provides a modern MIT full-editor application with current activity, but its desktop release is alpha and FFmpeg export dependencies need package/build-level licence review. OpenCut is being rewritten. No mature permissive turnkey editor is established here; compare these watch candidates against real import, scrub, edit, undo and export workloads. Dependency correction: OpenReel also uses MediaBunny (MPL-2.0), separately from application MIT and FFmpeg binary terms.</x:v>
      </x:c>
      <x:c r="H31" s="3" t="str"/>
    </x:row>
    <x:row r="32" ht="48" hidden="0" customHeight="1">
      <x:c r="A32" s="3" t="str">
        <x:v>D5</x:v>
      </x:c>
      <x:c r="B32" s="3" t="str">
        <x:v>Rich text and documents</x:v>
      </x:c>
      <x:c r="C32" s="3" t="str">
        <x:v>P2</x:v>
      </x:c>
      <x:c r="D32" s="3" t="str">
        <x:v>Tiptap OSS Editor; Lexical; Yjs; Automerge; Loro</x:v>
      </x:c>
      <x:c r="E32" s="3" t="str">
        <x:v>Which document schema, clipboard/Markdown/HTML round trips and migration guarantees are required?
What do comments, suggestions and accept/reject actions mean in collaborative state?
How are mentions, embeds and pasted content sanitised and permission checked?
How does the editor remain accessible and responsive with large documents and IME input?</x:v>
      </x:c>
      <x:c r="F32" s="3" t="str">
        <x:v>Keep Tiptap for extension-rich ProseMirror-based work and Lexical for a lean React editing foundation. Do not count ProseMirror and Tiptap as independent end-product solutions when one wraps the other. BlockNote is worth a focused block-UX comparison, but its optional commercial packages require package-level licence inspection.</x:v>
      </x:c>
      <x:c r="G32" s="3" t="str">
        <x:v>Full Google Docs-style suggestions, pagination, comments and document import/export are not automatically covered by the MIT cores.</x:v>
      </x:c>
      <x:c r="H32" s="3" t="str"/>
    </x:row>
    <x:row r="33" ht="48" hidden="0" customHeight="1">
      <x:c r="A33" s="8" t="str">
        <x:v>D6</x:v>
      </x:c>
      <x:c r="B33" s="8" t="str">
        <x:v>Commerce and configurators</x:v>
      </x:c>
      <x:c r="C33" s="8" t="str">
        <x:v>P2</x:v>
      </x:c>
      <x:c r="D33" s="8" t="str">
        <x:v>&lt;model-viewer&gt;; React Three Fiber; Konva; PixiJS</x:v>
      </x:c>
      <x:c r="E33" s="8" t="str">
        <x:v>Which combinations are valid, priced and available, and which system owns that truth?
How are material changes, camera moves and loading transitions coupled to explicit accessible controls?
Can configuration be saved/shared/restored, and what happens when a variant disappears?
Where do preview accuracy, AR handoff and purchase confirmation need user-visible explanation?</x:v>
      </x:c>
      <x:c r="F33" s="8" t="str">
        <x:v>Keep model-viewer for single-object configuration and R3F for custom/multipart scenes; add Konva for 2D personalization. Shopify Hydrogen is a commerce storefront framework tied to Shopify services, not a generic OSS desktop configurator; do not adopt it unless Shopify is actually the backend.</x:v>
      </x:c>
      <x:c r="G33" s="8" t="str">
        <x:v>The permissive renderers do not provide inventory, pricing rules, cart/checkout or rights to product models; those are separate integrations.</x:v>
      </x:c>
      <x:c r="H33" s="3" t="str"/>
    </x:row>
    <x:row r="34" ht="36" hidden="0" customHeight="1">
      <x:c r="A34" s="3" t="str">
        <x:v>E1</x:v>
      </x:c>
      <x:c r="B34" s="3" t="str">
        <x:v>Chat and streaming</x:v>
      </x:c>
      <x:c r="C34" s="3" t="str">
        <x:v>P1</x:v>
      </x:c>
      <x:c r="D34" s="3" t="str">
        <x:v>assistant-ui; AI SDK (Core + UI); Streamdown; shadcn/ui; OpenUI (Thesys open-source framework)</x:v>
      </x:c>
      <x:c r="E34" s="3" t="str">
        <x:v>When should auto-scroll follow output, and when must the reader's position win?
What do stop, retry, reconnect and partial-result retention mean?
How do attachments show upload, validation, failure and removal before send?</x:v>
      </x:c>
      <x:c r="F34" s="3" t="str">
        <x:v>Keep assistant-ui and AI SDK UI. Add Streamdown for partial Markdown. Legacy AI Elements CLI announced deprecation in Oct2026; use current shadcn patterns. Prompt-kit did not show substantive maintenance in the six-month window.</x:v>
      </x:c>
      <x:c r="G34" s="3" t="str">
        <x:v>A polished chat shell does not provide durable history, accessible high-frequency announcements or reliable reconnect semantics automatically; test long real transcripts.</x:v>
      </x:c>
      <x:c r="H34" s="3" t="str"/>
    </x:row>
    <x:row r="35" ht="36" hidden="0" customHeight="1">
      <x:c r="A35" s="8" t="str">
        <x:v>E2</x:v>
      </x:c>
      <x:c r="B35" s="8" t="str">
        <x:v>Agent workflows</x:v>
      </x:c>
      <x:c r="C35" s="8" t="str">
        <x:v>P1</x:v>
      </x:c>
      <x:c r="D35" s="8" t="str">
        <x:v>assistant-ui; CopilotKit (MIT SDKs and TypeScript runtime); AI SDK (Core + UI); shadcn/ui; AntV G6; OpenUI (Thesys open-source framework)</x:v>
      </x:c>
      <x:c r="E35" s="8" t="str">
        <x:v>How are planned, queued, running, waiting and completed work distinguished?
Can users stop or redirect one task without losing other work?
What survives refresh, disconnect or a backend restart, and how is stale progress labelled?</x:v>
      </x:c>
      <x:c r="F35" s="8" t="str">
        <x:v>Replace '(patterns)' with assistant-ui/CopilotKit/AI SDK state primitives plus shadcn Plan/Trace/Subagent compositions. Keep product inspirations but require event-backed task traces. Never imply a fabricated activity summary is a model's private reasoning.</x:v>
      </x:c>
      <x:c r="G35" s="8" t="str">
        <x:v>No shortlisted widget supplies an end-to-end durable multi-agent task console; task identity, cancellation, resumability and event ordering remain application work.</x:v>
      </x:c>
      <x:c r="H35" s="3" t="str"/>
    </x:row>
    <x:row r="36" ht="48" hidden="0" customHeight="1">
      <x:c r="A36" s="3" t="str">
        <x:v>E3</x:v>
      </x:c>
      <x:c r="B36" s="3" t="str">
        <x:v>Human review and approvals</x:v>
      </x:c>
      <x:c r="C36" s="3" t="str">
        <x:v>P1</x:v>
      </x:c>
      <x:c r="D36" s="3" t="str">
        <x:v>Monaco Editor; assistant-ui; AI SDK (Core + UI); CopilotKit (MIT SDKs and TypeScript runtime); shadcn/ui; Kokonut UI (free components)</x:v>
      </x:c>
      <x:c r="E36" s="3" t="str">
        <x:v>Exactly which action, parameters, affected objects and scope does an approval authorize?
How are changed inputs, expired approvals, duplicate clicks and retries handled?
Can users inspect and accept individual changes; what remains reversible afterward?
Does the server enforce the gate and record who approved the exact operation?</x:v>
      </x:c>
      <x:c r="F36" s="3" t="str">
        <x:v>Keep Monaco diff as a rendering primitive; accept/reject policy is host-owned. Add AI SDK server approval gates and supported backend interrupts. Distinguish agent-chosen human input from mandatory authorization enforced in code.</x:v>
      </x:c>
      <x:c r="G36" s="3" t="str">
        <x:v>A confirmation card is not a security boundary. No generic permissive component here supplies complete immutable audit trails, replay protection, authorization and per-change application logic.</x:v>
      </x:c>
      <x:c r="H36" s="3" t="str"/>
    </x:row>
    <x:row r="37" ht="48" hidden="0" customHeight="1">
      <x:c r="A37" s="8" t="str">
        <x:v>E4</x:v>
      </x:c>
      <x:c r="B37" s="8" t="str">
        <x:v>Trust and provenance</x:v>
      </x:c>
      <x:c r="C37" s="8" t="str">
        <x:v>P1</x:v>
      </x:c>
      <x:c r="D37" s="8" t="str">
        <x:v>shadcn/ui; assistant-ui; AI SDK (Core + UI); Streamdown; Kokonut UI (free components)</x:v>
      </x:c>
      <x:c r="E37" s="8" t="str">
        <x:v>Can each claim be traced to a retrieved source/version and quoted evidence?
How are generated content, human edits, model identity and collection time labelled?
What appears when a citation is missing, inaccessible, stale or contradicted?
Which tool events and approvals must be retained for audit, and for how long?</x:v>
      </x:c>
      <x:c r="F37" s="8" t="str">
        <x:v>Change '(patterns)' to schema-backed citations and metadata using shadcn/assistant-ui with AI SDK message parts. Streamdown provides safer links/rendering only. Perplexity/Elicit remain research references, not reusable open-source components.</x:v>
      </x:c>
      <x:c r="G37" s="8" t="str">
        <x:v>No citation chip verifies truth or source entailment. Evidence retrieval, snapshot retention, permissions, attribution and reliable audit records need a separate data contract.</x:v>
      </x:c>
      <x:c r="H37" s="3" t="str"/>
    </x:row>
    <x:row r="38" ht="48" hidden="0" customHeight="1">
      <x:c r="A38" s="3" t="str">
        <x:v>E5</x:v>
      </x:c>
      <x:c r="B38" s="3" t="str">
        <x:v>Generative UI</x:v>
      </x:c>
      <x:c r="C38" s="3" t="str">
        <x:v>P2</x:v>
      </x:c>
      <x:c r="D38" s="3" t="str">
        <x:v>assistant-ui; CopilotKit (MIT SDKs and TypeScript runtime); AI SDK (Core + UI); json-render; OpenUI (Thesys open-source framework)</x:v>
      </x:c>
      <x:c r="E38" s="3" t="str">
        <x:v>Which catalog is the model allowed to select, and how are props/actions validated?
What happens when a streamed spec is incomplete, invalid or unsupported?
Can users understand and undo generated UI actions?
How are accessibility, focus, export and persisted state preserved across regenerated layouts?</x:v>
      </x:c>
      <x:c r="F38" s="3" t="str">
        <x:v>Split 'Vercel AI SDK RSC/UI': current docs mark RSC experimental and recommend AI SDK UI for production. Keep CopilotKit MIT core; exclude separately licensed Showcase. Add assistant-ui's controlled vocabulary/spec renderer. Second pass: json-render and Thesys OpenUI offer constrained generative renderers; A2UI/AG-UI are protocol layers rather than finished component kits.</x:v>
      </x:c>
      <x:c r="G38" s="3" t="str">
        <x:v>Unrestricted model-generated executable UI cannot inherit app accessibility or security guarantees; use allowlisted schemas/components and sandbox external surfaces.</x:v>
      </x:c>
      <x:c r="H38" s="3" t="str"/>
    </x:row>
    <x:row r="39" ht="36" hidden="0" customHeight="1">
      <x:c r="A39" s="8" t="str">
        <x:v>F1</x:v>
      </x:c>
      <x:c r="B39" s="8" t="str">
        <x:v>Landing page sections</x:v>
      </x:c>
      <x:c r="C39" s="8" t="str">
        <x:v>P3</x:v>
      </x:c>
      <x:c r="D39" s="8" t="str">
        <x:v>Magic UI (free components); shadcn/ui; Motion; Kokonut UI (free components); Rive Web runtime (MIT playback; separate authoring)</x:v>
      </x:c>
      <x:c r="E39" s="8" t="str">
        <x:v>What single promise does the hero make, and what proof immediately supports it?
Which CTA is primary at each stage, and can users understand pricing/trust claims?
Does the page remain useful before media loads and with reduced motion?</x:v>
      </x:c>
      <x:c r="F39" s="8" t="str">
        <x:v>Keep Linear/Stripe/Vercel/Notion as primary product references. Add Magic UI free components and shadcn for implementation. Exclude Magic UI Pro and React Bits' Commons Clause components from the permissive source pool.</x:v>
      </x:c>
      <x:c r="G39" s="8" t="str">
        <x:v>Good sections are abundant; the remaining gap is specific product positioning, authentic proof and coherent art direction, not another effects library.</x:v>
      </x:c>
      <x:c r="H39" s="3" t="str"/>
    </x:row>
    <x:row r="40" ht="48" hidden="0" customHeight="1">
      <x:c r="A40" s="3" t="str">
        <x:v>F2</x:v>
      </x:c>
      <x:c r="B40" s="3" t="str">
        <x:v>Scroll-driven storytelling</x:v>
      </x:c>
      <x:c r="C40" s="3" t="str">
        <x:v>P3</x:v>
      </x:c>
      <x:c r="D40" s="3" t="str">
        <x:v>Motion; Anime.js; Lenis; PixiJS</x:v>
      </x:c>
      <x:c r="E40" s="3" t="str">
        <x:v>Does the story remain intelligible without motion or scroll pinning?
How are native scroll, keyboard, anchors and nested app panels preserved?
Which effects justify their CPU/GPU and loading cost?
What reduced-motion experience keeps the same information and navigation?</x:v>
      </x:c>
      <x:c r="F40" s="3" t="str">
        <x:v>Prefer native CSS scroll-driven effects when sufficient; use Motion or Anime for authored coordination. Keep Lenis situational: its current release honors reduced motion by default but documented scroll constraints remain. Do not label GSAP permissive merely because it is free.</x:v>
      </x:c>
      <x:c r="G40" s="3" t="str">
        <x:v>No library guarantees fluidity on low-power desktop hardware. Verify real media, repaint cost and sticky/pinned behavior; avoid applying marketing scroll smoothing to workspace panes.</x:v>
      </x:c>
      <x:c r="H40" s="3" t="str"/>
    </x:row>
    <x:row r="41" ht="48" hidden="0" customHeight="1">
      <x:c r="A41" s="8" t="str">
        <x:v>F3</x:v>
      </x:c>
      <x:c r="B41" s="8" t="str">
        <x:v>Navigation and mega menus</x:v>
      </x:c>
      <x:c r="C41" s="8" t="str">
        <x:v>P3</x:v>
      </x:c>
      <x:c r="D41" s="8" t="str">
        <x:v>Radix Primitives; React Aria Components; shadcn/ui</x:v>
      </x:c>
      <x:c r="E41" s="8" t="str">
        <x:v>Which items navigate versus trigger actions, and which semantic pattern applies?
Can keyboard and pointer users cross trigger/content boundaries without accidental closure?
How does navigation condense without hiding essential destinations?
How do Escape, focus return, open-state persistence and reduced motion behave?</x:v>
      </x:c>
      <x:c r="F41" s="8" t="str">
        <x:v>Add permissive Radix/React Aria/shadcn primitives, retaining Stripe and Vercel as visual product references. Use navigation-link semantics for destination menus; an ARIA action menu is not automatically a correct mega-navigation pattern.</x:v>
      </x:c>
      <x:c r="G41" s="8" t="str">
        <x:v>The primitives cover behavior; information architecture, responsive content grouping and sticky/condensing rules require product-specific design.</x:v>
      </x:c>
      <x:c r="H41" s="3" t="str"/>
    </x:row>
  </x:sheetData>
  <x:pageMargins left="0.7" right="0.7" top="0.75" bottom="0.75" header="0.3" footer="0.3"/>
  <x:tableParts count="1">
    <x:tablePart xmlns:r="http://schemas.openxmlformats.org/officeDocument/2006/relationships" r:id="R1853c7186eb54ca4"/>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74" hidden="0" customWidth="1"/>
    <x:col min="3" max="3" width="70" hidden="0" customWidth="1"/>
    <x:col min="4" max="4" width="80" hidden="0" customWidth="1"/>
    <x:col min="5" max="5" width="45" hidden="0" customWidth="1"/>
  </x:cols>
  <x:sheetData>
    <x:row r="1" ht="34" hidden="0" customHeight="1">
      <x:c r="A1" s="7" t="str">
        <x:v>Category ID</x:v>
      </x:c>
      <x:c r="B1" s="7" t="str">
        <x:v>Reference URL</x:v>
      </x:c>
      <x:c r="C1" s="7" t="str">
        <x:v>Specific screen or moment</x:v>
      </x:c>
      <x:c r="D1" s="7" t="str">
        <x:v>What to learn</x:v>
      </x:c>
      <x:c r="E1" s="7" t="str">
        <x:v>Verification</x:v>
      </x:c>
    </x:row>
    <x:row r="2" ht="24" hidden="0" customHeight="1">
      <x:c r="A2" s="3" t="str">
        <x:v>A1</x:v>
      </x:c>
      <x:c r="B2" s="3" t="str">
        <x:v>https://vercel.com/geist/colors</x:v>
      </x:c>
      <x:c r="C2" s="3" t="str">
        <x:v>Semantic background, border and text steps in light/dark themes.</x:v>
      </x:c>
      <x:c r="D2" s="3" t="str">
        <x:v>Clear role hierarchy; useful for avoiding arbitrary grey values.</x:v>
      </x:c>
      <x:c r="E2" s="3" t="str">
        <x:v>Primary documentation/demo reference reviewed; exact logged-in flow and interaction not captured.</x:v>
      </x:c>
    </x:row>
    <x:row r="3" ht="24" hidden="0" customHeight="1">
      <x:c r="A3" s="8" t="str">
        <x:v>A1</x:v>
      </x:c>
      <x:c r="B3" s="8" t="str">
        <x:v>https://primer.style/product/primitives/color/</x:v>
      </x:c>
      <x:c r="C3" s="8" t="str">
        <x:v>Functional foreground/background/border tokens and theme mapping.</x:v>
      </x:c>
      <x:c r="D3" s="8" t="str">
        <x:v>Shows how semantic roles survive theme changes.</x:v>
      </x:c>
      <x:c r="E3" s="8" t="str">
        <x:v>Primary documentation/demo reference reviewed; exact logged-in flow and interaction not captured.</x:v>
      </x:c>
    </x:row>
    <x:row r="4" ht="24" hidden="0" customHeight="1">
      <x:c r="A4" s="3" t="str">
        <x:v>A1</x:v>
      </x:c>
      <x:c r="B4" s="3" t="str">
        <x:v>https://www.radix-ui.com/colors</x:v>
      </x:c>
      <x:c r="C4" s="3" t="str">
        <x:v>Interactive colour-scale specimens and UI preview.</x:v>
      </x:c>
      <x:c r="D4" s="3" t="str">
        <x:v>Makes subtle surface and interaction contrast choices concrete.</x:v>
      </x:c>
      <x:c r="E4" s="3" t="str">
        <x:v>Primary documentation/demo reference reviewed; exact logged-in flow and interaction not captured.</x:v>
      </x:c>
    </x:row>
    <x:row r="5" ht="24" hidden="0" customHeight="1">
      <x:c r="A5" s="8" t="str">
        <x:v>A2</x:v>
      </x:c>
      <x:c r="B5" s="8" t="str">
        <x:v>https://vercel.com/geist/typography</x:v>
      </x:c>
      <x:c r="C5" s="8" t="str">
        <x:v>Label 13 tabular numerals beside dense metadata; separate label and copy styles.</x:v>
      </x:c>
      <x:c r="D5" s="8" t="str">
        <x:v>Precise desktop type roles and numeric alignment.</x:v>
      </x:c>
      <x:c r="E5" s="8" t="str">
        <x:v>Primary documentation/demo reference reviewed; exact logged-in flow and interaction not captured.</x:v>
      </x:c>
    </x:row>
    <x:row r="6" ht="24" hidden="0" customHeight="1">
      <x:c r="A6" s="3" t="str">
        <x:v>A2</x:v>
      </x:c>
      <x:c r="B6" s="3" t="str">
        <x:v>https://fontsource.org/fonts/inter</x:v>
      </x:c>
      <x:c r="C6" s="3" t="str">
        <x:v>Variable-font specimen with weight/script selection.</x:v>
      </x:c>
      <x:c r="D6" s="3" t="str">
        <x:v>Useful for choosing the exact family and subset rather than a screenshot font.</x:v>
      </x:c>
      <x:c r="E6" s="3" t="str">
        <x:v>Primary documentation/demo reference reviewed; exact logged-in flow and interaction not captured.</x:v>
      </x:c>
    </x:row>
    <x:row r="7" ht="24" hidden="0" customHeight="1">
      <x:c r="A7" s="8" t="str">
        <x:v>A2</x:v>
      </x:c>
      <x:c r="B7" s="8" t="str">
        <x:v>https://tailwindcss.com/docs/font-variant-numeric</x:v>
      </x:c>
      <x:c r="C7" s="8" t="str">
        <x:v>Tabular versus proportional numeral examples.</x:v>
      </x:c>
      <x:c r="D7" s="8" t="str">
        <x:v>Makes stable KPI/table alignment an explicit decision.</x:v>
      </x:c>
      <x:c r="E7" s="8" t="str">
        <x:v>Primary documentation/demo reference reviewed; exact logged-in flow and interaction not captured.</x:v>
      </x:c>
    </x:row>
    <x:row r="8" ht="24" hidden="0" customHeight="1">
      <x:c r="A8" s="3" t="str">
        <x:v>A3</x:v>
      </x:c>
      <x:c r="B8" s="3" t="str">
        <x:v>https://mantine.dev/core/app-shell/</x:v>
      </x:c>
      <x:c r="C8" s="3" t="str">
        <x:v>Fixed header/navbar/aside with responsive collapse and content offset.</x:v>
      </x:c>
      <x:c r="D8" s="3" t="str">
        <x:v>A concrete shell anatomy with documented resize behaviour.</x:v>
      </x:c>
      <x:c r="E8" s="3" t="str">
        <x:v>Primary documentation/demo reference reviewed; exact logged-in flow and interaction not captured.</x:v>
      </x:c>
    </x:row>
    <x:row r="9" ht="24" hidden="0" customHeight="1">
      <x:c r="A9" s="8" t="str">
        <x:v>A3</x:v>
      </x:c>
      <x:c r="B9" s="8" t="str">
        <x:v>https://vercel.com/geist/grid</x:v>
      </x:c>
      <x:c r="C9" s="8" t="str">
        <x:v>Responsive grid with guide-clipping and solid overlapping cells.</x:v>
      </x:c>
      <x:c r="D9" s="8" t="str">
        <x:v>Useful for explicit grid rhythm and visual hierarchy.</x:v>
      </x:c>
      <x:c r="E9" s="8" t="str">
        <x:v>Primary documentation/demo reference reviewed; exact logged-in flow and interaction not captured.</x:v>
      </x:c>
    </x:row>
    <x:row r="10" ht="24" hidden="0" customHeight="1">
      <x:c r="A10" s="3" t="str">
        <x:v>A3</x:v>
      </x:c>
      <x:c r="B10" s="3" t="str">
        <x:v>https://tailwindcss.com/docs/responsive-design</x:v>
      </x:c>
      <x:c r="C10" s="3" t="str">
        <x:v>Container-query examples for adapting to component width.</x:v>
      </x:c>
      <x:c r="D10" s="3" t="str">
        <x:v>Panels should respond to available space, not just the window.</x:v>
      </x:c>
      <x:c r="E10" s="3" t="str">
        <x:v>Primary documentation/demo reference reviewed; exact logged-in flow and interaction not captured.</x:v>
      </x:c>
    </x:row>
    <x:row r="11" ht="24" hidden="0" customHeight="1">
      <x:c r="A11" s="8" t="str">
        <x:v>A4</x:v>
      </x:c>
      <x:c r="B11" s="8" t="str">
        <x:v>https://vercel.com/geist/materials</x:v>
      </x:c>
      <x:c r="C11" s="8" t="str">
        <x:v>Surface versus floating material presets: card, menu, tooltip and modal.</x:v>
      </x:c>
      <x:c r="D11" s="8" t="str">
        <x:v>Connects shadow/radius choices to a layered hierarchy.</x:v>
      </x:c>
      <x:c r="E11" s="8" t="str">
        <x:v>Primary documentation/demo reference reviewed; exact logged-in flow and interaction not captured.</x:v>
      </x:c>
    </x:row>
    <x:row r="12" ht="24" hidden="0" customHeight="1">
      <x:c r="A12" s="3" t="str">
        <x:v>A4</x:v>
      </x:c>
      <x:c r="B12" s="3" t="str">
        <x:v>https://open-props.style/#shadows</x:v>
      </x:c>
      <x:c r="C12" s="3" t="str">
        <x:v>Shadow-scale property specimens.</x:v>
      </x:c>
      <x:c r="D12" s="3" t="str">
        <x:v>Useful token-level vocabulary for consistent depth.</x:v>
      </x:c>
      <x:c r="E12" s="3" t="str">
        <x:v>Primary documentation/demo reference reviewed; exact logged-in flow and interaction not captured.</x:v>
      </x:c>
    </x:row>
    <x:row r="13" ht="24" hidden="0" customHeight="1">
      <x:c r="A13" s="8" t="str">
        <x:v>A4</x:v>
      </x:c>
      <x:c r="B13" s="8" t="str">
        <x:v>https://tailwindcss.com/docs/backdrop-filter-blur</x:v>
      </x:c>
      <x:c r="C13" s="8" t="str">
        <x:v>Backdrop-blur surface examples and feature variants.</x:v>
      </x:c>
      <x:c r="D13" s="8" t="str">
        <x:v>Concrete glass implementation to pair with opaque fallbacks.</x:v>
      </x:c>
      <x:c r="E13" s="8" t="str">
        <x:v>Primary documentation/demo reference reviewed; exact logged-in flow and interaction not captured.</x:v>
      </x:c>
    </x:row>
    <x:row r="14" ht="24" hidden="0" customHeight="1">
      <x:c r="A14" s="3" t="str">
        <x:v>A5</x:v>
      </x:c>
      <x:c r="B14" s="3" t="str">
        <x:v>https://motion.dev/docs/react-layout-animations</x:v>
      </x:c>
      <x:c r="C14" s="3" t="str">
        <x:v>Shared-layout/FLIP transition when elements change size or position.</x:v>
      </x:c>
      <x:c r="D14" s="3" t="str">
        <x:v>Explains spatial continuity without animating expensive layout properties directly.</x:v>
      </x:c>
      <x:c r="E14" s="3" t="str">
        <x:v>Primary documentation/demo reference reviewed; exact logged-in flow and interaction not captured.</x:v>
      </x:c>
    </x:row>
    <x:row r="15" ht="24" hidden="0" customHeight="1">
      <x:c r="A15" s="8" t="str">
        <x:v>A5</x:v>
      </x:c>
      <x:c r="B15" s="8" t="str">
        <x:v>https://motion.dev/docs/react-scroll-animations</x:v>
      </x:c>
      <x:c r="C15" s="8" t="str">
        <x:v>Scroll progress and scroll-linked visual examples.</x:v>
      </x:c>
      <x:c r="D15" s="8" t="str">
        <x:v>Useful for restrained storytelling and progress mapping.</x:v>
      </x:c>
      <x:c r="E15" s="8" t="str">
        <x:v>Primary documentation/demo reference reviewed; exact logged-in flow and interaction not captured.</x:v>
      </x:c>
    </x:row>
    <x:row r="16" ht="24" hidden="0" customHeight="1">
      <x:c r="A16" s="3" t="str">
        <x:v>A5</x:v>
      </x:c>
      <x:c r="B16" s="3" t="str">
        <x:v>https://motion.dev/docs/react-accessibility</x:v>
      </x:c>
      <x:c r="C16" s="3" t="str">
        <x:v>Reduced-motion configuration and alternative behaviour.</x:v>
      </x:c>
      <x:c r="D16" s="3" t="str">
        <x:v>Makes motion preference a functional branch of the design.</x:v>
      </x:c>
      <x:c r="E16" s="3" t="str">
        <x:v>Primary documentation/demo reference reviewed; exact logged-in flow and interaction not captured.</x:v>
      </x:c>
    </x:row>
    <x:row r="17" ht="24" hidden="0" customHeight="1">
      <x:c r="A17" s="8" t="str">
        <x:v>A6</x:v>
      </x:c>
      <x:c r="B17" s="8" t="str">
        <x:v>https://sonner.emilkowal.ski/</x:v>
      </x:c>
      <x:c r="C17" s="8" t="str">
        <x:v>Promise toast resolves into success; action toast offers a small recovery action.</x:v>
      </x:c>
      <x:c r="D17" s="8" t="str">
        <x:v>Clear feedback with polished stacking and motion.</x:v>
      </x:c>
      <x:c r="E17" s="8" t="str">
        <x:v>Primary documentation/demo reference reviewed; exact logged-in flow and interaction not captured.</x:v>
      </x:c>
    </x:row>
    <x:row r="18" ht="24" hidden="0" customHeight="1">
      <x:c r="A18" s="3" t="str">
        <x:v>A6</x:v>
      </x:c>
      <x:c r="B18" s="3" t="str">
        <x:v>https://number-flow.barvian.me/</x:v>
      </x:c>
      <x:c r="C18" s="3" t="str">
        <x:v>Shuffle number/currency to see digit and width transitions.</x:v>
      </x:c>
      <x:c r="D18" s="3" t="str">
        <x:v>A focused reference for live KPI changes.</x:v>
      </x:c>
      <x:c r="E18" s="3" t="str">
        <x:v>Primary documentation/demo reference reviewed; exact logged-in flow and interaction not captured.</x:v>
      </x:c>
    </x:row>
    <x:row r="19" ht="24" hidden="0" customHeight="1">
      <x:c r="A19" s="8" t="str">
        <x:v>A6</x:v>
      </x:c>
      <x:c r="B19" s="8" t="str">
        <x:v>https://tanstack.com/query/latest/docs/framework/react/guides/optimistic-updates</x:v>
      </x:c>
      <x:c r="C19" s="8" t="str">
        <x:v>Pending optimistic row followed by success or rollback.</x:v>
      </x:c>
      <x:c r="D19" s="8" t="str">
        <x:v>A concrete state model behind perceived responsiveness.</x:v>
      </x:c>
      <x:c r="E19" s="8" t="str">
        <x:v>Primary documentation/demo reference reviewed; exact logged-in flow and interaction not captured.</x:v>
      </x:c>
    </x:row>
    <x:row r="20" ht="24" hidden="0" customHeight="1">
      <x:c r="A20" s="3" t="str">
        <x:v>A7</x:v>
      </x:c>
      <x:c r="B20" s="3" t="str">
        <x:v>https://react-aria.adobe.com/DateRangePicker</x:v>
      </x:c>
      <x:c r="C20" s="3" t="str">
        <x:v>Keyboard-navigable date-range input plus calendar popover.</x:v>
      </x:c>
      <x:c r="D20" s="3" t="str">
        <x:v>A difficult composite control with internationalised interaction.</x:v>
      </x:c>
      <x:c r="E20" s="3" t="str">
        <x:v>Primary documentation/demo reference reviewed; exact logged-in flow and interaction not captured.</x:v>
      </x:c>
    </x:row>
    <x:row r="21" ht="24" hidden="0" customHeight="1">
      <x:c r="A21" s="8" t="str">
        <x:v>A7</x:v>
      </x:c>
      <x:c r="B21" s="8" t="str">
        <x:v>https://www.w3.org/WAI/ARIA/apg/patterns/combobox/</x:v>
      </x:c>
      <x:c r="C21" s="8" t="str">
        <x:v>Editable combobox keyboard interaction and focus rules.</x:v>
      </x:c>
      <x:c r="D21" s="8" t="str">
        <x:v>Primary reference for distinguishing input, popup and active option.</x:v>
      </x:c>
      <x:c r="E21" s="8" t="str">
        <x:v>Primary documentation/demo reference reviewed; exact logged-in flow and interaction not captured.</x:v>
      </x:c>
    </x:row>
    <x:row r="22" ht="24" hidden="0" customHeight="1">
      <x:c r="A22" s="3" t="str">
        <x:v>A7</x:v>
      </x:c>
      <x:c r="B22" s="3" t="str">
        <x:v>https://design-system.service.gov.uk/components/error-summary/</x:v>
      </x:c>
      <x:c r="C22" s="3" t="str">
        <x:v>Focused error summary linking directly to invalid fields.</x:v>
      </x:c>
      <x:c r="D22" s="3" t="str">
        <x:v>Excellent recovery structure beyond adding ARIA labels.</x:v>
      </x:c>
      <x:c r="E22" s="3" t="str">
        <x:v>Primary documentation/demo reference reviewed; exact logged-in flow and interaction not captured.</x:v>
      </x:c>
    </x:row>
    <x:row r="23" ht="24" hidden="0" customHeight="1">
      <x:c r="A23" s="8" t="str">
        <x:v>A8</x:v>
      </x:c>
      <x:c r="B23" s="8" t="str">
        <x:v>https://tanstack.com/virtual/latest/docs/framework/react/examples/dynamic</x:v>
      </x:c>
      <x:c r="C23" s="8" t="str">
        <x:v>Dynamic-height virtualised list while scrolling.</x:v>
      </x:c>
      <x:c r="D23" s="8" t="str">
        <x:v>Tests the expensive case of variable-sized content.</x:v>
      </x:c>
      <x:c r="E23" s="8" t="str">
        <x:v>Primary documentation/demo reference reviewed; exact logged-in flow and interaction not captured.</x:v>
      </x:c>
    </x:row>
    <x:row r="24" ht="24" hidden="0" customHeight="1">
      <x:c r="A24" s="3" t="str">
        <x:v>A8</x:v>
      </x:c>
      <x:c r="B24" s="3" t="str">
        <x:v>https://www.ag-grid.com/react-data-grid/scrolling-performance/</x:v>
      </x:c>
      <x:c r="C24" s="3" t="str">
        <x:v>Cell renderer/deferred rendering choices during fast grid scroll.</x:v>
      </x:c>
      <x:c r="D24" s="3" t="str">
        <x:v>Connects component decisions to perceptible scrolling cost.</x:v>
      </x:c>
      <x:c r="E24" s="3" t="str">
        <x:v>Primary documentation/demo reference reviewed; exact logged-in flow and interaction not captured.</x:v>
      </x:c>
    </x:row>
    <x:row r="25" ht="24" hidden="0" customHeight="1">
      <x:c r="A25" s="8" t="str">
        <x:v>A8</x:v>
      </x:c>
      <x:c r="B25" s="8" t="str">
        <x:v>https://tanstack.com/table/latest/docs/framework/react/examples/virtualized-rows</x:v>
      </x:c>
      <x:c r="C25" s="8" t="str">
        <x:v>Sorting a table while rendering a bounded row window.</x:v>
      </x:c>
      <x:c r="D25" s="8" t="str">
        <x:v>Useful combined state/rendering reference.</x:v>
      </x:c>
      <x:c r="E25" s="8" t="str">
        <x:v>Primary documentation/demo reference reviewed; exact logged-in flow and interaction not captured.</x:v>
      </x:c>
    </x:row>
    <x:row r="26" ht="24" hidden="0" customHeight="1">
      <x:c r="A26" s="3" t="str">
        <x:v>A9</x:v>
      </x:c>
      <x:c r="B26" s="3" t="str">
        <x:v>https://design-system.service.gov.uk/components/error-message/</x:v>
      </x:c>
      <x:c r="C26" s="3" t="str">
        <x:v>Specific field error explaining what to correct.</x:v>
      </x:c>
      <x:c r="D26" s="3" t="str">
        <x:v>Useful structure for actionable errors without blame.</x:v>
      </x:c>
      <x:c r="E26" s="3" t="str">
        <x:v>Primary documentation/demo reference reviewed; exact logged-in flow and interaction not captured.</x:v>
      </x:c>
    </x:row>
    <x:row r="27" ht="24" hidden="0" customHeight="1">
      <x:c r="A27" s="8" t="str">
        <x:v>A9</x:v>
      </x:c>
      <x:c r="B27" s="8" t="str">
        <x:v>https://monzo.com/tone-of-voice</x:v>
      </x:c>
      <x:c r="C27" s="8" t="str">
        <x:v>Plain-language tone guidance and before/after wording examples.</x:v>
      </x:c>
      <x:c r="D27" s="8" t="str">
        <x:v>Shows how personality can coexist with clarity.</x:v>
      </x:c>
      <x:c r="E27" s="8" t="str">
        <x:v>Primary documentation/demo reference reviewed; exact logged-in flow and interaction not captured.</x:v>
      </x:c>
    </x:row>
    <x:row r="28" ht="24" hidden="0" customHeight="1">
      <x:c r="A28" s="3" t="str">
        <x:v>A9</x:v>
      </x:c>
      <x:c r="B28" s="3" t="str">
        <x:v>https://learn.microsoft.com/en-us/style-guide/word-choice/use-simple-words-concise-sentences</x:v>
      </x:c>
      <x:c r="C28" s="3" t="str">
        <x:v>Concise UI wording and familiar word choices.</x:v>
      </x:c>
      <x:c r="D28" s="3" t="str">
        <x:v>A practical source for terminology and length budgets.</x:v>
      </x:c>
      <x:c r="E28" s="3" t="str">
        <x:v>Primary documentation/demo reference reviewed; exact logged-in flow and interaction not captured.</x:v>
      </x:c>
    </x:row>
    <x:row r="29" ht="24" hidden="0" customHeight="1">
      <x:c r="A29" s="8" t="str">
        <x:v>A10</x:v>
      </x:c>
      <x:c r="B29" s="8" t="str">
        <x:v>https://lucide.dev/icons/</x:v>
      </x:c>
      <x:c r="C29" s="8" t="str">
        <x:v>Search the desktop icon set and compare consistent stroke shapes.</x:v>
      </x:c>
      <x:c r="D29" s="8" t="str">
        <x:v>A strong common visual vocabulary.</x:v>
      </x:c>
      <x:c r="E29" s="8" t="str">
        <x:v>Primary documentation/demo reference reviewed; exact logged-in flow and interaction not captured.</x:v>
      </x:c>
    </x:row>
    <x:row r="30" ht="24" hidden="0" customHeight="1">
      <x:c r="A30" s="3" t="str">
        <x:v>A10</x:v>
      </x:c>
      <x:c r="B30" s="3" t="str">
        <x:v>https://heroicons.com/</x:v>
      </x:c>
      <x:c r="C30" s="3" t="str">
        <x:v>Outline/solid size variants in the live icon gallery.</x:v>
      </x:c>
      <x:c r="D30" s="3" t="str">
        <x:v>Useful comparison for small-size legibility and emphasis.</x:v>
      </x:c>
      <x:c r="E30" s="3" t="str">
        <x:v>Primary documentation/demo reference reviewed; exact logged-in flow and interaction not captured.</x:v>
      </x:c>
    </x:row>
    <x:row r="31" ht="24" hidden="0" customHeight="1">
      <x:c r="A31" s="8" t="str">
        <x:v>A10</x:v>
      </x:c>
      <x:c r="B31" s="8" t="str">
        <x:v>https://ui.shadcn.com/docs/components/base/avatar</x:v>
      </x:c>
      <x:c r="C31" s="8" t="str">
        <x:v>Avatar fallbacks and grouped participant imagery.</x:v>
      </x:c>
      <x:c r="D31" s="8" t="str">
        <x:v>Useful for resilient identity displays when images fail.</x:v>
      </x:c>
      <x:c r="E31" s="8" t="str">
        <x:v>Primary documentation/demo reference reviewed; exact logged-in flow and interaction not captured.</x:v>
      </x:c>
    </x:row>
    <x:row r="32" ht="24" hidden="0" customHeight="1">
      <x:c r="A32" s="3" t="str">
        <x:v>B1</x:v>
      </x:c>
      <x:c r="B32" s="3" t="str">
        <x:v>https://ui.shadcn.com/docs/components/base/sidebar</x:v>
      </x:c>
      <x:c r="C32" s="3" t="str">
        <x:v>Collapsible sidebar with grouped navigation and account controls.</x:v>
      </x:c>
      <x:c r="D32" s="3" t="str">
        <x:v>A directly reusable modern desktop shell pattern.</x:v>
      </x:c>
      <x:c r="E32" s="3" t="str">
        <x:v>Primary documentation/demo reference reviewed; exact logged-in flow and interaction not captured.</x:v>
      </x:c>
    </x:row>
    <x:row r="33" ht="24" hidden="0" customHeight="1">
      <x:c r="A33" s="8" t="str">
        <x:v>B1</x:v>
      </x:c>
      <x:c r="B33" s="8" t="str">
        <x:v>https://mantine.dev/core/app-shell/</x:v>
      </x:c>
      <x:c r="C33" s="8" t="str">
        <x:v>Header/navbar/aside/main region composition and responsive collapse.</x:v>
      </x:c>
      <x:c r="D33" s="8" t="str">
        <x:v>Makes shell geometry and content offsets explicit.</x:v>
      </x:c>
      <x:c r="E33" s="8" t="str">
        <x:v>Primary documentation/demo reference reviewed; exact logged-in flow and interaction not captured.</x:v>
      </x:c>
    </x:row>
    <x:row r="34" ht="24" hidden="0" customHeight="1">
      <x:c r="A34" s="3" t="str">
        <x:v>B1</x:v>
      </x:c>
      <x:c r="B34" s="3" t="str">
        <x:v>https://linear.app/docs/favorites</x:v>
      </x:c>
      <x:c r="C34" s="3" t="str">
        <x:v>Personal favourites, folders and keyboard access in the sidebar.</x:v>
      </x:c>
      <x:c r="D34" s="3" t="str">
        <x:v>Shows navigation that adapts to recurring work.</x:v>
      </x:c>
      <x:c r="E34" s="3" t="str">
        <x:v>Primary documentation/demo reference reviewed; exact logged-in flow and interaction not captured.</x:v>
      </x:c>
    </x:row>
    <x:row r="35" ht="24" hidden="0" customHeight="1">
      <x:c r="A35" s="8" t="str">
        <x:v>B2</x:v>
      </x:c>
      <x:c r="B35" s="8" t="str">
        <x:v>https://mantine.dev/x/spotlight/</x:v>
      </x:c>
      <x:c r="C35" s="8" t="str">
        <x:v>Searchable grouped commands with keyboard activation.</x:v>
      </x:c>
      <x:c r="D35" s="8" t="str">
        <x:v>A maintained ready-made command-surface implementation.</x:v>
      </x:c>
      <x:c r="E35" s="8" t="str">
        <x:v>Primary documentation/demo reference reviewed; exact logged-in flow and interaction not captured.</x:v>
      </x:c>
    </x:row>
    <x:row r="36" ht="24" hidden="0" customHeight="1">
      <x:c r="A36" s="3" t="str">
        <x:v>B2</x:v>
      </x:c>
      <x:c r="B36" s="3" t="str">
        <x:v>https://vercel.com/geist/command-menu</x:v>
      </x:c>
      <x:c r="C36" s="3" t="str">
        <x:v>Command-menu surface with grouped actions and shortcut hints.</x:v>
      </x:c>
      <x:c r="D36" s="3" t="str">
        <x:v>Useful density and hierarchy reference.</x:v>
      </x:c>
      <x:c r="E36" s="3" t="str">
        <x:v>Primary documentation/demo reference reviewed; exact logged-in flow and interaction not captured.</x:v>
      </x:c>
    </x:row>
    <x:row r="37" ht="24" hidden="0" customHeight="1">
      <x:c r="A37" s="8" t="str">
        <x:v>B2</x:v>
      </x:c>
      <x:c r="B37" s="8" t="str">
        <x:v>https://linear.app/docs/select-issues</x:v>
      </x:c>
      <x:c r="C37" s="8" t="str">
        <x:v>Select several issues, then open Cmd/Ctrl-K for contextual bulk actions.</x:v>
      </x:c>
      <x:c r="D37" s="8" t="str">
        <x:v>Shows why a palette should reflect current selection.</x:v>
      </x:c>
      <x:c r="E37" s="8" t="str">
        <x:v>Primary documentation/demo reference reviewed; exact logged-in flow and interaction not captured.</x:v>
      </x:c>
    </x:row>
    <x:row r="38" ht="24" hidden="0" customHeight="1">
      <x:c r="A38" s="3" t="str">
        <x:v>B3</x:v>
      </x:c>
      <x:c r="B38" s="3" t="str">
        <x:v>https://dockview.dev/demo/</x:v>
      </x:c>
      <x:c r="C38" s="3" t="str">
        <x:v>Drag a tab between groups, float a group, and restore a workspace.</x:v>
      </x:c>
      <x:c r="D38" s="3" t="str">
        <x:v>The closest reference to a browser-based IDE/trading workspace.</x:v>
      </x:c>
      <x:c r="E38" s="3" t="str">
        <x:v>Primary documentation/demo reference reviewed; exact logged-in flow and interaction not captured.</x:v>
      </x:c>
    </x:row>
    <x:row r="39" ht="24" hidden="0" customHeight="1">
      <x:c r="A39" s="8" t="str">
        <x:v>B3</x:v>
      </x:c>
      <x:c r="B39" s="8" t="str">
        <x:v>https://react-resizable-panels.vercel.app/</x:v>
      </x:c>
      <x:c r="C39" s="8" t="str">
        <x:v>Nested split-pane resize and minimum-size behaviour.</x:v>
      </x:c>
      <x:c r="D39" s="8" t="str">
        <x:v>A focused reference for simpler inspectors and editors.</x:v>
      </x:c>
      <x:c r="E39" s="8" t="str">
        <x:v>Primary documentation/demo reference reviewed; exact logged-in flow and interaction not captured.</x:v>
      </x:c>
    </x:row>
    <x:row r="40" ht="24" hidden="0" customHeight="1">
      <x:c r="A40" s="3" t="str">
        <x:v>B3</x:v>
      </x:c>
      <x:c r="B40" s="3" t="str">
        <x:v>https://code.visualstudio.com/docs/editing/getting-started/userinterface</x:v>
      </x:c>
      <x:c r="C40" s="3" t="str">
        <x:v>Primary/secondary sidebars, panel placement and editor groups.</x:v>
      </x:c>
      <x:c r="D40" s="3" t="str">
        <x:v>Mature region hierarchy and user customisation model.</x:v>
      </x:c>
      <x:c r="E40" s="3" t="str">
        <x:v>Primary documentation/demo reference reviewed; exact logged-in flow and interaction not captured.</x:v>
      </x:c>
    </x:row>
    <x:row r="41" ht="24" hidden="0" customHeight="1">
      <x:c r="A41" s="8" t="str">
        <x:v>B4</x:v>
      </x:c>
      <x:c r="B41" s="8" t="str">
        <x:v>https://base-ui.com/react/components/dialog</x:v>
      </x:c>
      <x:c r="C41" s="8" t="str">
        <x:v>Nested dialog and close-confirmation examples.</x:v>
      </x:c>
      <x:c r="D41" s="8" t="str">
        <x:v>Explicit examples of focus and dismissal edge cases.</x:v>
      </x:c>
      <x:c r="E41" s="8" t="str">
        <x:v>Primary documentation/demo reference reviewed; exact logged-in flow and interaction not captured.</x:v>
      </x:c>
    </x:row>
    <x:row r="42" ht="24" hidden="0" customHeight="1">
      <x:c r="A42" s="3" t="str">
        <x:v>B4</x:v>
      </x:c>
      <x:c r="B42" s="3" t="str">
        <x:v>https://react-aria.adobe.com/Popover</x:v>
      </x:c>
      <x:c r="C42" s="3" t="str">
        <x:v>Anchored popover placement and focus interaction.</x:v>
      </x:c>
      <x:c r="D42" s="3" t="str">
        <x:v>Useful polished overlay composition.</x:v>
      </x:c>
      <x:c r="E42" s="3" t="str">
        <x:v>Primary documentation/demo reference reviewed; exact logged-in flow and interaction not captured.</x:v>
      </x:c>
    </x:row>
    <x:row r="43" ht="24" hidden="0" customHeight="1">
      <x:c r="A43" s="8" t="str">
        <x:v>B4</x:v>
      </x:c>
      <x:c r="B43" s="8" t="str">
        <x:v>https://sonner.emilkowal.ski/</x:v>
      </x:c>
      <x:c r="C43" s="8" t="str">
        <x:v>Stacked action/promise toasts and hover expansion.</x:v>
      </x:c>
      <x:c r="D43" s="8" t="str">
        <x:v>A distinct nonmodal feedback reference.</x:v>
      </x:c>
      <x:c r="E43" s="8" t="str">
        <x:v>Primary documentation/demo reference reviewed; exact logged-in flow and interaction not captured.</x:v>
      </x:c>
    </x:row>
    <x:row r="44" ht="24" hidden="0" customHeight="1">
      <x:c r="A44" s="3" t="str">
        <x:v>B5</x:v>
      </x:c>
      <x:c r="B44" s="3" t="str">
        <x:v>https://react-aria.adobe.com/DateRangePicker</x:v>
      </x:c>
      <x:c r="C44" s="3" t="str">
        <x:v>Segmented date-range field with keyboard and calendar interaction.</x:v>
      </x:c>
      <x:c r="D44" s="3" t="str">
        <x:v>High-quality composite input behaviour.</x:v>
      </x:c>
      <x:c r="E44" s="3" t="str">
        <x:v>Primary documentation/demo reference reviewed; exact logged-in flow and interaction not captured.</x:v>
      </x:c>
    </x:row>
    <x:row r="45" ht="24" hidden="0" customHeight="1">
      <x:c r="A45" s="8" t="str">
        <x:v>B5</x:v>
      </x:c>
      <x:c r="B45" s="8" t="str">
        <x:v>https://base-ui.com/react/components/combobox</x:v>
      </x:c>
      <x:c r="C45" s="8" t="str">
        <x:v>Asynchronous, grouped and multi-select combobox examples.</x:v>
      </x:c>
      <x:c r="D45" s="8" t="str">
        <x:v>Useful state and selection edge cases.</x:v>
      </x:c>
      <x:c r="E45" s="8" t="str">
        <x:v>Primary documentation/demo reference reviewed; exact logged-in flow and interaction not captured.</x:v>
      </x:c>
    </x:row>
    <x:row r="46" ht="24" hidden="0" customHeight="1">
      <x:c r="A46" s="3" t="str">
        <x:v>B5</x:v>
      </x:c>
      <x:c r="B46" s="3" t="str">
        <x:v>https://docs.stripe.com/payments/checkout</x:v>
      </x:c>
      <x:c r="C46" s="3" t="str">
        <x:v>Checkout form with payment details, validation and completion flow.</x:v>
      </x:c>
      <x:c r="D46" s="3" t="str">
        <x:v>A real-world reference for progressive form completion; Stripe is a reference, not an OSS recommendation.</x:v>
      </x:c>
      <x:c r="E46" s="3" t="str">
        <x:v>Primary documentation/demo reference reviewed; exact logged-in flow and interaction not captured.</x:v>
      </x:c>
    </x:row>
    <x:row r="47" ht="24" hidden="0" customHeight="1">
      <x:c r="A47" s="8" t="str">
        <x:v>B6</x:v>
      </x:c>
      <x:c r="B47" s="8" t="str">
        <x:v>https://tanstack.com/table/latest/docs/framework/react/examples/virtualized-rows</x:v>
      </x:c>
      <x:c r="C47" s="8" t="str">
        <x:v>Virtualised sortable rows with custom cells.</x:v>
      </x:c>
      <x:c r="D47" s="8" t="str">
        <x:v>Strong source for a generator-owned visual grid.</x:v>
      </x:c>
      <x:c r="E47" s="8" t="str">
        <x:v>Primary documentation/demo reference reviewed; exact logged-in flow and interaction not captured.</x:v>
      </x:c>
    </x:row>
    <x:row r="48" ht="24" hidden="0" customHeight="1">
      <x:c r="A48" s="3" t="str">
        <x:v>B6</x:v>
      </x:c>
      <x:c r="B48" s="3" t="str">
        <x:v>https://www.ag-grid.com/react-data-grid/getting-started/</x:v>
      </x:c>
      <x:c r="C48" s="3" t="str">
        <x:v>Themed Community starter grid with sorting and filtering.</x:v>
      </x:c>
      <x:c r="D48" s="3" t="str">
        <x:v>A safer demo for open-source edition expectations.</x:v>
      </x:c>
      <x:c r="E48" s="3" t="str">
        <x:v>Primary documentation/demo reference reviewed; exact logged-in flow and interaction not captured.</x:v>
      </x:c>
    </x:row>
    <x:row r="49" ht="24" hidden="0" customHeight="1">
      <x:c r="A49" s="8" t="str">
        <x:v>B6</x:v>
      </x:c>
      <x:c r="B49" s="8" t="str">
        <x:v>https://react-aria.adobe.com/Table</x:v>
      </x:c>
      <x:c r="C49" s="8" t="str">
        <x:v>Selection, sorting and keyboard interaction in a semantic table.</x:v>
      </x:c>
      <x:c r="D49" s="8" t="str">
        <x:v>Useful accessibility-oriented reference for moderate datasets.</x:v>
      </x:c>
      <x:c r="E49" s="8" t="str">
        <x:v>Primary documentation/demo reference reviewed; exact logged-in flow and interaction not captured.</x:v>
      </x:c>
    </x:row>
    <x:row r="50" ht="24" hidden="0" customHeight="1">
      <x:c r="A50" s="3" t="str">
        <x:v>B7</x:v>
      </x:c>
      <x:c r="B50" s="3" t="str">
        <x:v>https://linear.app/docs/filters</x:v>
      </x:c>
      <x:c r="C50" s="3" t="str">
        <x:v>Filter chips, URL-backed views and nested AND/OR advanced filters.</x:v>
      </x:c>
      <x:c r="D50" s="3" t="str">
        <x:v>Excellent progression from quick filtering to explicit query logic.</x:v>
      </x:c>
      <x:c r="E50" s="3" t="str">
        <x:v>Primary documentation/demo reference reviewed; exact logged-in flow and interaction not captured.</x:v>
      </x:c>
    </x:row>
    <x:row r="51" ht="24" hidden="0" customHeight="1">
      <x:c r="A51" s="8" t="str">
        <x:v>B7</x:v>
      </x:c>
      <x:c r="B51" s="8" t="str">
        <x:v>https://tanstack.com/table/latest/docs/framework/react/examples/filters-faceted</x:v>
      </x:c>
      <x:c r="C51" s="8" t="str">
        <x:v>Faceted column filter controls with available-value counts.</x:v>
      </x:c>
      <x:c r="D51" s="8" t="str">
        <x:v>A concrete state model for data-heavy desktop lists.</x:v>
      </x:c>
      <x:c r="E51" s="8" t="str">
        <x:v>Primary documentation/demo reference reviewed; exact logged-in flow and interaction not captured.</x:v>
      </x:c>
    </x:row>
    <x:row r="52" ht="24" hidden="0" customHeight="1">
      <x:c r="A52" s="3" t="str">
        <x:v>B7</x:v>
      </x:c>
      <x:c r="B52" s="3" t="str">
        <x:v>https://react-aria.adobe.com/Autocomplete</x:v>
      </x:c>
      <x:c r="C52" s="3" t="str">
        <x:v>Keyboard-searchable collection with empty/loading results.</x:v>
      </x:c>
      <x:c r="D52" s="3" t="str">
        <x:v>Useful accessible search interaction building blocks.</x:v>
      </x:c>
      <x:c r="E52" s="3" t="str">
        <x:v>Primary documentation/demo reference reviewed; exact logged-in flow and interaction not captured.</x:v>
      </x:c>
    </x:row>
    <x:row r="53" ht="24" hidden="0" customHeight="1">
      <x:c r="A53" s="8" t="str">
        <x:v>B8</x:v>
      </x:c>
      <x:c r="B53" s="8" t="str">
        <x:v>https://ui.shadcn.com/docs/components/base/empty</x:v>
      </x:c>
      <x:c r="C53" s="8" t="str">
        <x:v>No Projects Yet with Create/Import actions; offline-user and no-team variants.</x:v>
      </x:c>
      <x:c r="D53" s="8" t="str">
        <x:v>Makes distinct empty-state causes actionable.</x:v>
      </x:c>
      <x:c r="E53" s="8" t="str">
        <x:v>Primary documentation/demo reference reviewed; exact logged-in flow and interaction not captured.</x:v>
      </x:c>
    </x:row>
    <x:row r="54" ht="24" hidden="0" customHeight="1">
      <x:c r="A54" s="3" t="str">
        <x:v>B8</x:v>
      </x:c>
      <x:c r="B54" s="3" t="str">
        <x:v>https://vercel.com/geist/empty-state</x:v>
      </x:c>
      <x:c r="C54" s="3" t="str">
        <x:v>Empty-state icon, title, description and contextual action composition.</x:v>
      </x:c>
      <x:c r="D54" s="3" t="str">
        <x:v>A restrained modern desktop state pattern.</x:v>
      </x:c>
      <x:c r="E54" s="3" t="str">
        <x:v>Primary documentation/demo reference reviewed; exact logged-in flow and interaction not captured.</x:v>
      </x:c>
    </x:row>
    <x:row r="55" ht="24" hidden="0" customHeight="1">
      <x:c r="A55" s="8" t="str">
        <x:v>B8</x:v>
      </x:c>
      <x:c r="B55" s="8" t="str">
        <x:v>https://design-system.service.gov.uk/components/error-summary/</x:v>
      </x:c>
      <x:c r="C55" s="8" t="str">
        <x:v>Error summary moves focus and links to the failed fields.</x:v>
      </x:c>
      <x:c r="D55" s="8" t="str">
        <x:v>A clear recovery model for multi-error forms.</x:v>
      </x:c>
      <x:c r="E55" s="8" t="str">
        <x:v>Primary documentation/demo reference reviewed; exact logged-in flow and interaction not captured.</x:v>
      </x:c>
    </x:row>
    <x:row r="56" ht="24" hidden="0" customHeight="1">
      <x:c r="A56" s="3" t="str">
        <x:v>B9</x:v>
      </x:c>
      <x:c r="B56" s="3" t="str">
        <x:v>https://driverjs.com/docs/tour-basics</x:v>
      </x:c>
      <x:c r="C56" s="3" t="str">
        <x:v>Short guided focus tour over existing UI.</x:v>
      </x:c>
      <x:c r="D56" s="3" t="str">
        <x:v>Useful for optional contextual learning after the interface is usable.</x:v>
      </x:c>
      <x:c r="E56" s="3" t="str">
        <x:v>Primary documentation/demo reference reviewed; exact logged-in flow and interaction not captured.</x:v>
      </x:c>
    </x:row>
    <x:row r="57" ht="24" hidden="0" customHeight="1">
      <x:c r="A57" s="8" t="str">
        <x:v>B9</x:v>
      </x:c>
      <x:c r="B57" s="8" t="str">
        <x:v>https://driverjs.com/docs/checklists</x:v>
      </x:c>
      <x:c r="C57" s="8" t="str">
        <x:v>Dismissible setup checklist with items that launch focused tours.</x:v>
      </x:c>
      <x:c r="D57" s="8" t="str">
        <x:v>A stronger first-run model than a long mandatory tour.</x:v>
      </x:c>
      <x:c r="E57" s="8" t="str">
        <x:v>Primary documentation/demo reference reviewed; exact logged-in flow and interaction not captured.</x:v>
      </x:c>
    </x:row>
    <x:row r="58" ht="24" hidden="0" customHeight="1">
      <x:c r="A58" s="3" t="str">
        <x:v>B9</x:v>
      </x:c>
      <x:c r="B58" s="3" t="str">
        <x:v>https://mantine.dev/core/stepper/</x:v>
      </x:c>
      <x:c r="C58" s="3" t="str">
        <x:v>Stepper with validation and controlled progression.</x:v>
      </x:c>
      <x:c r="D58" s="3" t="str">
        <x:v>Useful for genuine multi-step configuration tasks.</x:v>
      </x:c>
      <x:c r="E58" s="3" t="str">
        <x:v>Primary documentation/demo reference reviewed; exact logged-in flow and interaction not captured.</x:v>
      </x:c>
    </x:row>
    <x:row r="59" ht="24" hidden="0" customHeight="1">
      <x:c r="A59" s="8" t="str">
        <x:v>B10</x:v>
      </x:c>
      <x:c r="B59" s="8" t="str">
        <x:v>https://linear.app/docs/inbox</x:v>
      </x:c>
      <x:c r="C59" s="8" t="str">
        <x:v>Priority/Other inbox with snooze, unread state and contextual issue actions.</x:v>
      </x:c>
      <x:c r="D59" s="8" t="str">
        <x:v>A strong durable attention-management reference.</x:v>
      </x:c>
      <x:c r="E59" s="8" t="str">
        <x:v>Primary documentation/demo reference reviewed; exact logged-in flow and interaction not captured.</x:v>
      </x:c>
    </x:row>
    <x:row r="60" ht="24" hidden="0" customHeight="1">
      <x:c r="A60" s="3" t="str">
        <x:v>B10</x:v>
      </x:c>
      <x:c r="B60" s="3" t="str">
        <x:v>https://sonner.emilkowal.ski/</x:v>
      </x:c>
      <x:c r="C60" s="3" t="str">
        <x:v>Promise progress and action toast for immediate feedback.</x:v>
      </x:c>
      <x:c r="D60" s="3" t="str">
        <x:v>Polished transient feedback; distinct from an inbox.</x:v>
      </x:c>
      <x:c r="E60" s="3" t="str">
        <x:v>Primary documentation/demo reference reviewed; exact logged-in flow and interaction not captured.</x:v>
      </x:c>
    </x:row>
    <x:row r="61" ht="24" hidden="0" customHeight="1">
      <x:c r="A61" s="8" t="str">
        <x:v>B10</x:v>
      </x:c>
      <x:c r="B61" s="8" t="str">
        <x:v>https://base-ui.com/react/components/toast</x:v>
      </x:c>
      <x:c r="C61" s="8" t="str">
        <x:v>Managed toast lifetimes, actions and stacking examples.</x:v>
      </x:c>
      <x:c r="D61" s="8" t="str">
        <x:v>Useful composable notification behaviour.</x:v>
      </x:c>
      <x:c r="E61" s="8" t="str">
        <x:v>Primary documentation/demo reference reviewed; exact logged-in flow and interaction not captured.</x:v>
      </x:c>
    </x:row>
    <x:row r="62" ht="24" hidden="0" customHeight="1">
      <x:c r="A62" s="3" t="str">
        <x:v>C1</x:v>
      </x:c>
      <x:c r="B62" s="3" t="str">
        <x:v>https://recharts.github.io/en-US/examples/</x:v>
      </x:c>
      <x:c r="C62" s="3" t="str">
        <x:v>Synchronized charts: linked cursor across aligned charts; custom tooltip and gradient area examples.</x:v>
      </x:c>
      <x:c r="D62" s="3" t="str">
        <x:v>Shows how chart comparisons and shared focus should work inside a modern app.</x:v>
      </x:c>
      <x:c r="E62" s="3" t="str">
        <x:v>Primary documentation/demo reference reviewed; exact logged-in flow and interaction not captured.</x:v>
      </x:c>
    </x:row>
    <x:row r="63" ht="24" hidden="0" customHeight="1">
      <x:c r="A63" s="8" t="str">
        <x:v>C1</x:v>
      </x:c>
      <x:c r="B63" s="8" t="str">
        <x:v>https://echarts.apache.org/examples/en/index.html</x:v>
      </x:c>
      <x:c r="C63" s="8" t="str">
        <x:v>Interactive zoom/dataZoom and dense scatter example families.</x:v>
      </x:c>
      <x:c r="D63" s="8" t="str">
        <x:v>Provides implementation patterns for navigating dense data rather than shrinking everything into one static chart.</x:v>
      </x:c>
      <x:c r="E63" s="8" t="str">
        <x:v>Primary documentation/demo reference reviewed; exact logged-in flow and interaction not captured.</x:v>
      </x:c>
    </x:row>
    <x:row r="64" ht="24" hidden="0" customHeight="1">
      <x:c r="A64" s="3" t="str">
        <x:v>C1</x:v>
      </x:c>
      <x:c r="B64" s="3" t="str">
        <x:v>https://tradingview.github.io/lightweight-charts/tutorials/demos/realtime-updates</x:v>
      </x:c>
      <x:c r="C64" s="3" t="str">
        <x:v>Candlestick series receives updates while Go to realtime restores the live viewport.</x:v>
      </x:c>
      <x:c r="D64" s="3" t="str">
        <x:v>Separates historical inspection from live-follow state.</x:v>
      </x:c>
      <x:c r="E64" s="3" t="str">
        <x:v>Primary documentation/demo reference reviewed; exact logged-in flow and interaction not captured.</x:v>
      </x:c>
    </x:row>
    <x:row r="65" ht="24" hidden="0" customHeight="1">
      <x:c r="A65" s="8" t="str">
        <x:v>C2</x:v>
      </x:c>
      <x:c r="B65" s="8" t="str">
        <x:v>https://docs.stripe.com/dashboard/basics</x:v>
      </x:c>
      <x:c r="C65" s="8" t="str">
        <x:v>Dashboard overview, task-oriented navigation and account context.</x:v>
      </x:c>
      <x:c r="D65" s="8" t="str">
        <x:v>A real product reference for hierarchy and operational context; reference only, not reusable OSS.</x:v>
      </x:c>
      <x:c r="E65" s="8" t="str">
        <x:v>Primary documentation/demo reference reviewed; exact logged-in flow and interaction not captured.</x:v>
      </x:c>
    </x:row>
    <x:row r="66" ht="24" hidden="0" customHeight="1">
      <x:c r="A66" s="3" t="str">
        <x:v>C2</x:v>
      </x:c>
      <x:c r="B66" s="3" t="str">
        <x:v>https://recharts.github.io/en-US/examples/</x:v>
      </x:c>
      <x:c r="C66" s="3" t="str">
        <x:v>Synchronized Line Chart and Synchronized Area Chart examples.</x:v>
      </x:c>
      <x:c r="D66" s="3" t="str">
        <x:v>Demonstrates coordinated comparisons that a dashboard guide should specify.</x:v>
      </x:c>
      <x:c r="E66" s="3" t="str">
        <x:v>Primary documentation/demo reference reviewed; exact logged-in flow and interaction not captured.</x:v>
      </x:c>
    </x:row>
    <x:row r="67" ht="24" hidden="0" customHeight="1">
      <x:c r="A67" s="8" t="str">
        <x:v>C2</x:v>
      </x:c>
      <x:c r="B67" s="8" t="str">
        <x:v>https://kepler.gl/demo</x:v>
      </x:c>
      <x:c r="C67" s="8" t="str">
        <x:v>Dataset, layer and filter side panel alongside the map; time playback.</x:v>
      </x:c>
      <x:c r="D67" s="8" t="str">
        <x:v>Shows inspectable cross-filtering and progressive control disclosure.</x:v>
      </x:c>
      <x:c r="E67" s="8" t="str">
        <x:v>Primary documentation/demo reference reviewed; exact logged-in flow and interaction not captured.</x:v>
      </x:c>
    </x:row>
    <x:row r="68" ht="24" hidden="0" customHeight="1">
      <x:c r="A68" s="3" t="str">
        <x:v>C3</x:v>
      </x:c>
      <x:c r="B68" s="3" t="str">
        <x:v>https://maplibre.org/maplibre-gl-js/docs/examples/3d-terrain/</x:v>
      </x:c>
      <x:c r="C68" s="3" t="str">
        <x:v>Pitch/zoom through terrain with map navigation controls.</x:v>
      </x:c>
      <x:c r="D68" s="3" t="str">
        <x:v>Good reference for spatial depth and camera control without inventing a rendering layer.</x:v>
      </x:c>
      <x:c r="E68" s="3" t="str">
        <x:v>Primary documentation/demo reference reviewed; exact logged-in flow and interaction not captured.</x:v>
      </x:c>
    </x:row>
    <x:row r="69" ht="24" hidden="0" customHeight="1">
      <x:c r="A69" s="8" t="str">
        <x:v>C3</x:v>
      </x:c>
      <x:c r="B69" s="8" t="str">
        <x:v>https://deck.gl/docs/api-reference/geo-layers/trips-layer</x:v>
      </x:c>
      <x:c r="C69" s="8" t="str">
        <x:v>Animated vehicle paths with fading trails and a shared time value.</x:v>
      </x:c>
      <x:c r="D69" s="8" t="str">
        <x:v>A clear large-data temporal map pattern with code and precision caveats.</x:v>
      </x:c>
      <x:c r="E69" s="8" t="str">
        <x:v>Primary documentation/demo reference reviewed; exact logged-in flow and interaction not captured.</x:v>
      </x:c>
    </x:row>
    <x:row r="70" ht="24" hidden="0" customHeight="1">
      <x:c r="A70" s="3" t="str">
        <x:v>C3</x:v>
      </x:c>
      <x:c r="B70" s="3" t="str">
        <x:v>https://kepler.gl/demo</x:v>
      </x:c>
      <x:c r="C70" s="3" t="str">
        <x:v>Layer list, attribute-driven styling, filters and playback around a dense map.</x:v>
      </x:c>
      <x:c r="D70" s="3" t="str">
        <x:v>An exploration-workbench reference; its whole chrome should not become every customer map.</x:v>
      </x:c>
      <x:c r="E70" s="3" t="str">
        <x:v>Primary documentation/demo reference reviewed; exact logged-in flow and interaction not captured.</x:v>
      </x:c>
    </x:row>
    <x:row r="71" ht="24" hidden="0" customHeight="1">
      <x:c r="A71" s="8" t="str">
        <x:v>C4</x:v>
      </x:c>
      <x:c r="B71" s="8" t="str">
        <x:v>https://www.sigmajs.org/embed/homepage/demo/</x:v>
      </x:c>
      <x:c r="C71" s="8" t="str">
        <x:v>~9,000 AI-paper network with citation/community legend, paper search and focusable neighbourhood.</x:v>
      </x:c>
      <x:c r="D71" s="8" t="str">
        <x:v>Live visually reviewed; illustrates the need to escape a dense hairball through search and focus.</x:v>
      </x:c>
      <x:c r="E71" s="8" t="str">
        <x:v>Primary documentation/demo reference reviewed; exact logged-in flow and interaction not captured.</x:v>
      </x:c>
    </x:row>
    <x:row r="72" ht="24" hidden="0" customHeight="1">
      <x:c r="A72" s="3" t="str">
        <x:v>C4</x:v>
      </x:c>
      <x:c r="B72" s="3" t="str">
        <x:v>https://reactflow.dev/examples/interaction/connection-events</x:v>
      </x:c>
      <x:c r="C72" s="3" t="str">
        <x:v>Dragging, validating and reconnecting edges between custom nodes.</x:v>
      </x:c>
      <x:c r="D72" s="3" t="str">
        <x:v>Best reference for workflow editing where controls belong inside nodes.</x:v>
      </x:c>
      <x:c r="E72" s="3" t="str">
        <x:v>Primary documentation/demo reference reviewed; exact logged-in flow and interaction not captured.</x:v>
      </x:c>
    </x:row>
    <x:row r="73" ht="24" hidden="0" customHeight="1">
      <x:c r="A73" s="8" t="str">
        <x:v>C4</x:v>
      </x:c>
      <x:c r="B73" s="8" t="str">
        <x:v>https://echarts.apache.org/examples/en/index.html</x:v>
      </x:c>
      <x:c r="C73" s="8" t="str">
        <x:v>Graph/force-layout example family.</x:v>
      </x:c>
      <x:c r="D73" s="8" t="str">
        <x:v>A lighter chart-centric relationship view when the app does not need a full editor.</x:v>
      </x:c>
      <x:c r="E73" s="8" t="str">
        <x:v>Primary documentation/demo reference reviewed; exact logged-in flow and interaction not captured.</x:v>
      </x:c>
    </x:row>
    <x:row r="74" ht="24" hidden="0" customHeight="1">
      <x:c r="A74" s="3" t="str">
        <x:v>C5</x:v>
      </x:c>
      <x:c r="B74" s="3" t="str">
        <x:v>https://fullcalendar.io/demos</x:v>
      </x:c>
      <x:c r="C74" s="3" t="str">
        <x:v>Standard day/week/month event selection and drag/drop demos.</x:v>
      </x:c>
      <x:c r="D74" s="3" t="str">
        <x:v>Shows calendar-grid scheduling; premium resource-timeline examples need separate licensing.</x:v>
      </x:c>
      <x:c r="E74" s="3" t="str">
        <x:v>Primary documentation/demo reference reviewed; exact logged-in flow and interaction not captured.</x:v>
      </x:c>
    </x:row>
    <x:row r="75" ht="24" hidden="0" customHeight="1">
      <x:c r="A75" s="8" t="str">
        <x:v>C5</x:v>
      </x:c>
      <x:c r="B75" s="8" t="str">
        <x:v>https://schedule-x.dev/</x:v>
      </x:c>
      <x:c r="C75" s="8" t="str">
        <x:v>Week view with dense overlapping event cards, timezone selector and view controls.</x:v>
      </x:c>
      <x:c r="D75" s="8" t="str">
        <x:v>Live visually reviewed clean calendar styling; homepage interactions may include premium plugins.</x:v>
      </x:c>
      <x:c r="E75" s="8" t="str">
        <x:v>Primary documentation/demo reference reviewed; exact logged-in flow and interaction not captured.</x:v>
      </x:c>
    </x:row>
    <x:row r="76" ht="24" hidden="0" customHeight="1">
      <x:c r="A76" s="3" t="str">
        <x:v>C5</x:v>
      </x:c>
      <x:c r="B76" s="3" t="str">
        <x:v>https://wavesurfer.xyz/examples/?regions.js</x:v>
      </x:c>
      <x:c r="C76" s="3" t="str">
        <x:v>Zooming a waveform and resizing a labelled time region.</x:v>
      </x:c>
      <x:c r="D76" s="3" t="str">
        <x:v>A media scrubber reference, distinct from date/calendar semantics; sample audio failed to load in this session.</x:v>
      </x:c>
      <x:c r="E76" s="3" t="str">
        <x:v>Primary documentation/demo reference reviewed; exact logged-in flow and interaction not captured.</x:v>
      </x:c>
    </x:row>
    <x:row r="77" ht="24" hidden="0" customHeight="1">
      <x:c r="A77" s="8" t="str">
        <x:v>C6</x:v>
      </x:c>
      <x:c r="B77" s="8" t="str">
        <x:v>https://tradingview.github.io/lightweight-charts/tutorials/demos/realtime-updates</x:v>
      </x:c>
      <x:c r="C77" s="8" t="str">
        <x:v>Updates change the last candlestick; Go to realtime returns after historical browsing.</x:v>
      </x:c>
      <x:c r="D77" s="8" t="str">
        <x:v>Clear live-follow/inspect state boundary and incremental update API.</x:v>
      </x:c>
      <x:c r="E77" s="8" t="str">
        <x:v>Primary documentation/demo reference reviewed; exact logged-in flow and interaction not captured.</x:v>
      </x:c>
    </x:row>
    <x:row r="78" ht="24" hidden="0" customHeight="1">
      <x:c r="A78" s="3" t="str">
        <x:v>C6</x:v>
      </x:c>
      <x:c r="B78" s="3" t="str">
        <x:v>https://deck.gl/docs/api-reference/geo-layers/trips-layer</x:v>
      </x:c>
      <x:c r="C78" s="3" t="str">
        <x:v>Fading vehicle trails rendered from timestamped path positions.</x:v>
      </x:c>
      <x:c r="D78" s="3" t="str">
        <x:v>Illustrates rate-independent playback and relative timestamp precision.</x:v>
      </x:c>
      <x:c r="E78" s="3" t="str">
        <x:v>Primary documentation/demo reference reviewed; exact logged-in flow and interaction not captured.</x:v>
      </x:c>
    </x:row>
    <x:row r="79" ht="24" hidden="0" customHeight="1">
      <x:c r="A79" s="8" t="str">
        <x:v>C6</x:v>
      </x:c>
      <x:c r="B79" s="8" t="str">
        <x:v>https://grafana.com/docs/grafana/latest/setup-grafana/set-up-grafana-live/</x:v>
      </x:c>
      <x:c r="C79" s="8" t="str">
        <x:v>Grafana Live Measurements panel using the random 20 Hz test channel.</x:v>
      </x:c>
      <x:c r="D79" s="8" t="str">
        <x:v>A concrete streaming-panel reference for transport state and bounded real-time updates. Published walkthrough, not an independently replayed performance result.</x:v>
      </x:c>
      <x:c r="E79" s="8" t="str">
        <x:v>Primary documentation/demo reference reviewed; exact logged-in flow and interaction not captured.</x:v>
      </x:c>
    </x:row>
    <x:row r="80" ht="24" hidden="0" customHeight="1">
      <x:c r="A80" s="3" t="str">
        <x:v>D1</x:v>
      </x:c>
      <x:c r="B80" s="3" t="str">
        <x:v>https://r3f.docs.pmnd.rs/getting-started/examples</x:v>
      </x:c>
      <x:c r="C80" s="3" t="str">
        <x:v>T-shirt/configurator, material transmission and soft-shadow showcase scenes.</x:v>
      </x:c>
      <x:c r="D80" s="3" t="str">
        <x:v>Shows custom scene/art-direction potential with React; source licensing/assets still need checking.</x:v>
      </x:c>
      <x:c r="E80" s="3" t="str">
        <x:v>Primary documentation/demo reference reviewed; exact logged-in flow and interaction not captured.</x:v>
      </x:c>
    </x:row>
    <x:row r="81" ht="24" hidden="0" customHeight="1">
      <x:c r="A81" s="8" t="str">
        <x:v>D1</x:v>
      </x:c>
      <x:c r="B81" s="8" t="str">
        <x:v>https://modelviewer.dev/examples/scenegraph/</x:v>
      </x:c>
      <x:c r="C81" s="8" t="str">
        <x:v>Swap Model Variants and Change Material controls for a product model.</x:v>
      </x:c>
      <x:c r="D81" s="8" t="str">
        <x:v>Demonstrates a narrower, simpler product-viewer interaction; model asset did not load in this session.</x:v>
      </x:c>
      <x:c r="E81" s="8" t="str">
        <x:v>Primary documentation/demo reference reviewed; exact logged-in flow and interaction not captured.</x:v>
      </x:c>
    </x:row>
    <x:row r="82" ht="24" hidden="0" customHeight="1">
      <x:c r="A82" s="3" t="str">
        <x:v>D1</x:v>
      </x:c>
      <x:c r="B82" s="3" t="str">
        <x:v>https://maplibre.org/maplibre-gl-js/docs/examples/3d-terrain/</x:v>
      </x:c>
      <x:c r="C82" s="3" t="str">
        <x:v>Tilted terrain, elevation and orbit/pitch controls.</x:v>
      </x:c>
      <x:c r="D82" s="3" t="str">
        <x:v>A purpose-specific spatial 3D reference rather than unnecessary general scene-building.</x:v>
      </x:c>
      <x:c r="E82" s="3" t="str">
        <x:v>Primary documentation/demo reference reviewed; exact logged-in flow and interaction not captured.</x:v>
      </x:c>
    </x:row>
    <x:row r="83" ht="24" hidden="0" customHeight="1">
      <x:c r="A83" s="8" t="str">
        <x:v>D2</x:v>
      </x:c>
      <x:c r="B83" s="8" t="str">
        <x:v>https://excalidraw.com/</x:v>
      </x:c>
      <x:c r="C83" s="8" t="str">
        <x:v>First-use whiteboard with floating shape strip and bottom zoom/undo cluster.</x:v>
      </x:c>
      <x:c r="D83" s="8" t="str">
        <x:v>Live visually reviewed: a compact canvas shell keeps content central.</x:v>
      </x:c>
      <x:c r="E83" s="8" t="str">
        <x:v>Primary documentation/demo reference reviewed; exact logged-in flow and interaction not captured.</x:v>
      </x:c>
    </x:row>
    <x:row r="84" ht="24" hidden="0" customHeight="1">
      <x:c r="A84" s="3" t="str">
        <x:v>D2</x:v>
      </x:c>
      <x:c r="B84" s="3" t="str">
        <x:v>https://reactflow.dev/learn/advanced-use/whiteboard</x:v>
      </x:c>
      <x:c r="C84" s="3" t="str">
        <x:v>Whiteboard features: freehand drawing, lasso and shapes layered onto a node canvas.</x:v>
      </x:c>
      <x:c r="D84" s="3" t="str">
        <x:v>Shows where a diagram engine can be extended without pretending it is a complete collaborative product.</x:v>
      </x:c>
      <x:c r="E84" s="3" t="str">
        <x:v>Primary documentation/demo reference reviewed; exact logged-in flow and interaction not captured.</x:v>
      </x:c>
    </x:row>
    <x:row r="85" ht="24" hidden="0" customHeight="1">
      <x:c r="A85" s="8" t="str">
        <x:v>D2</x:v>
      </x:c>
      <x:c r="B85" s="8" t="str">
        <x:v>https://konvajs.org/docs/sandbox/Canvas_Editor.html</x:v>
      </x:c>
      <x:c r="C85" s="8" t="str">
        <x:v>Design-editor selection, resize/rotate handles and canvas content.</x:v>
      </x:c>
      <x:c r="D85" s="8" t="str">
        <x:v>An extensible editor primitive reference for custom visual tools.</x:v>
      </x:c>
      <x:c r="E85" s="8" t="str">
        <x:v>Primary documentation/demo reference reviewed; exact logged-in flow and interaction not captured.</x:v>
      </x:c>
    </x:row>
    <x:row r="86" ht="24" hidden="0" customHeight="1">
      <x:c r="A86" s="3" t="str">
        <x:v>D3</x:v>
      </x:c>
      <x:c r="B86" s="3" t="str">
        <x:v>https://docs.yjs.dev/api/about-awareness</x:v>
      </x:c>
      <x:c r="C86" s="3" t="str">
        <x:v>Presence heartbeat, offline timeout and clearing disconnected peers.</x:v>
      </x:c>
      <x:c r="D86" s="3" t="str">
        <x:v>Defines honest presence behaviour; presence is separate from persisted document content.</x:v>
      </x:c>
      <x:c r="E86" s="3" t="str">
        <x:v>Primary documentation/demo reference reviewed; exact logged-in flow and interaction not captured.</x:v>
      </x:c>
    </x:row>
    <x:row r="87" ht="24" hidden="0" customHeight="1">
      <x:c r="A87" s="8" t="str">
        <x:v>D3</x:v>
      </x:c>
      <x:c r="B87" s="8" t="str">
        <x:v>https://lexical.dev/docs/collaboration/react</x:v>
      </x:c>
      <x:c r="C87" s="8" t="str">
        <x:v>Two editor instances share Yjs state via CollaborationPlugin; initial document bootstraps on the server.</x:v>
      </x:c>
      <x:c r="D87" s="8" t="str">
        <x:v>Concrete integration guidance prevents duplicate initial content and clarifies provider responsibilities.</x:v>
      </x:c>
      <x:c r="E87" s="8" t="str">
        <x:v>Primary documentation/demo reference reviewed; exact logged-in flow and interaction not captured.</x:v>
      </x:c>
    </x:row>
    <x:row r="88" ht="24" hidden="0" customHeight="1">
      <x:c r="A88" s="3" t="str">
        <x:v>D3</x:v>
      </x:c>
      <x:c r="B88" s="3" t="str">
        <x:v>https://excalidraw.com/</x:v>
      </x:c>
      <x:c r="C88" s="3" t="str">
        <x:v>Live collaboration entry beside the uncluttered first-use canvas.</x:v>
      </x:c>
      <x:c r="D88" s="3" t="str">
        <x:v>A visible pattern reference; hosted app collaboration is not automatically included in the npm embedding API.</x:v>
      </x:c>
      <x:c r="E88" s="3" t="str">
        <x:v>Primary documentation/demo reference reviewed; exact logged-in flow and interaction not captured.</x:v>
      </x:c>
    </x:row>
    <x:row r="89" ht="24" hidden="0" customHeight="1">
      <x:c r="A89" s="8" t="str">
        <x:v>D3</x:v>
      </x:c>
      <x:c r="B89" s="8" t="str">
        <x:v>https://help.figma.com/hc/en-us/articles/360040322673-Present-to-collaborators-using-spotlight</x:v>
      </x:c>
      <x:c r="C89" s="8" t="str">
        <x:v>Figma Spotlight: follow a collaborator, coloured viewport border and Stop following.</x:v>
      </x:c>
      <x:c r="D89" s="8" t="str">
        <x:v>Shows clear ownership of a shared viewport and an explicit escape from following. Official illustrated reference; no signed-in session captured.</x:v>
      </x:c>
      <x:c r="E89" s="8" t="str">
        <x:v>Primary documentation/demo reference reviewed; exact logged-in flow and interaction not captured.</x:v>
      </x:c>
    </x:row>
    <x:row r="90" ht="24" hidden="0" customHeight="1">
      <x:c r="A90" s="3" t="str">
        <x:v>D3</x:v>
      </x:c>
      <x:c r="B90" s="3" t="str">
        <x:v>https://help.figma.com/hc/en-us/articles/4403130802199-Use-cursor-chat-in-Figma-Design</x:v>
      </x:c>
      <x:c r="C90" s="3" t="str">
        <x:v>Figma cursor chat beside a live collaborator pointer.</x:v>
      </x:c>
      <x:c r="D90" s="3" t="str">
        <x:v>Transient messages remain tied to location instead of polluting persisted document content. Official illustrated reference.</x:v>
      </x:c>
      <x:c r="E90" s="3" t="str">
        <x:v>Primary documentation/demo reference reviewed; exact logged-in flow and interaction not captured.</x:v>
      </x:c>
    </x:row>
    <x:row r="91" ht="24" hidden="0" customHeight="1">
      <x:c r="A91" s="8" t="str">
        <x:v>D4</x:v>
      </x:c>
      <x:c r="B91" s="8" t="str">
        <x:v>https://github.com/Augani/openreel-video</x:v>
      </x:c>
      <x:c r="C91" s="8" t="str">
        <x:v>Full multitrack editor: timeline, preview, clip transforms, audio mixing and export; application code provides an inspectable implementation.</x:v>
      </x:c>
      <x:c r="D91" s="8" t="str">
        <x:v>Newer complete-editor candidate that deserves a watch slot; desktop alpha and FFmpeg dependency boundary require qualification.</x:v>
      </x:c>
      <x:c r="E91" s="8" t="str">
        <x:v>Primary documentation/demo reference reviewed; exact logged-in flow and interaction not captured.</x:v>
      </x:c>
    </x:row>
    <x:row r="92" ht="24" hidden="0" customHeight="1">
      <x:c r="A92" s="3" t="str">
        <x:v>D4</x:v>
      </x:c>
      <x:c r="B92" s="3" t="str">
        <x:v>https://wavesurfer.xyz/examples/?regions.js</x:v>
      </x:c>
      <x:c r="C92" s="3" t="str">
        <x:v>Resize/select waveform regions and zoom around the playhead.</x:v>
      </x:c>
      <x:c r="D92" s="3" t="str">
        <x:v>Relevant open-source audio editing primitive; live sample audio was unavailable during inspection.</x:v>
      </x:c>
      <x:c r="E92" s="3" t="str">
        <x:v>Primary documentation/demo reference reviewed; exact logged-in flow and interaction not captured.</x:v>
      </x:c>
    </x:row>
    <x:row r="93" ht="24" hidden="0" customHeight="1">
      <x:c r="A93" s="8" t="str">
        <x:v>D4</x:v>
      </x:c>
      <x:c r="B93" s="8" t="str">
        <x:v>https://www.descript.com/tour</x:v>
      </x:c>
      <x:c r="C93" s="8" t="str">
        <x:v>Descript: expand the simplified timeline to all tracks while retaining script and scene context.</x:v>
      </x:c>
      <x:c r="D93" s="8" t="str">
        <x:v>Progressive disclosure balances precise editing with transcript-first orientation. Public product tour only; proprietary reference.</x:v>
      </x:c>
      <x:c r="E93" s="8" t="str">
        <x:v>Primary documentation/demo reference reviewed; exact logged-in flow and interaction not captured.</x:v>
      </x:c>
    </x:row>
    <x:row r="94" ht="24" hidden="0" customHeight="1">
      <x:c r="A94" s="3" t="str">
        <x:v>D4</x:v>
      </x:c>
      <x:c r="B94" s="3" t="str">
        <x:v>https://riverside.com/university-videos/editor-clips-walkthrough</x:v>
      </x:c>
      <x:c r="C94" s="3" t="str">
        <x:v>Riverside editor walkthrough: collapsed versus expanded tracks, trim/split and transcript editing.</x:v>
      </x:c>
      <x:c r="D94" s="3" t="str">
        <x:v>Shows transitions between transcript and timeline work, with adjustable workspace density. July 2026 official walkthrough; proprietary reference.</x:v>
      </x:c>
      <x:c r="E94" s="3" t="str">
        <x:v>Primary documentation/demo reference reviewed; exact logged-in flow and interaction not captured.</x:v>
      </x:c>
    </x:row>
    <x:row r="95" ht="24" hidden="0" customHeight="1">
      <x:c r="A95" s="8" t="str">
        <x:v>D5</x:v>
      </x:c>
      <x:c r="B95" s="8" t="str">
        <x:v>https://lexical.dev/</x:v>
      </x:c>
      <x:c r="C95" s="8" t="str">
        <x:v>Notion-like block editor, compact chat input and rich-input demos.</x:v>
      </x:c>
      <x:c r="D95" s="8" t="str">
        <x:v>Shows distinct editing density and chrome for documents versus composers.</x:v>
      </x:c>
      <x:c r="E95" s="8" t="str">
        <x:v>Primary documentation/demo reference reviewed; exact logged-in flow and interaction not captured.</x:v>
      </x:c>
    </x:row>
    <x:row r="96" ht="24" hidden="0" customHeight="1">
      <x:c r="A96" s="3" t="str">
        <x:v>D5</x:v>
      </x:c>
      <x:c r="B96" s="3" t="str">
        <x:v>https://tiptap.dev/docs/editor/getting-started/overview</x:v>
      </x:c>
      <x:c r="C96" s="3" t="str">
        <x:v>Headless editor extension catalog with bubble menus, tables and collaboration.</x:v>
      </x:c>
      <x:c r="D96" s="3" t="str">
        <x:v>Strong reference for composing only the required editing surface; paid add-ons are visibly marked.</x:v>
      </x:c>
      <x:c r="E96" s="3" t="str">
        <x:v>Primary documentation/demo reference reviewed; exact logged-in flow and interaction not captured.</x:v>
      </x:c>
    </x:row>
    <x:row r="97" ht="24" hidden="0" customHeight="1">
      <x:c r="A97" s="8" t="str">
        <x:v>D5</x:v>
      </x:c>
      <x:c r="B97" s="8" t="str">
        <x:v>https://lexical.dev/docs/collaboration/react</x:v>
      </x:c>
      <x:c r="C97" s="8" t="str">
        <x:v>Shared editing setup and server-side initial content bootstrapping.</x:v>
      </x:c>
      <x:c r="D97" s="8" t="str">
        <x:v>Demonstrates the implementation moment where document and sync contracts meet.</x:v>
      </x:c>
      <x:c r="E97" s="8" t="str">
        <x:v>Primary documentation/demo reference reviewed; exact logged-in flow and interaction not captured.</x:v>
      </x:c>
    </x:row>
    <x:row r="98" ht="24" hidden="0" customHeight="1">
      <x:c r="A98" s="3" t="str">
        <x:v>D6</x:v>
      </x:c>
      <x:c r="B98" s="3" t="str">
        <x:v>https://modelviewer.dev/examples/scenegraph/</x:v>
      </x:c>
      <x:c r="C98" s="3" t="str">
        <x:v>Material variants, texture/material edits and visible product controls.</x:v>
      </x:c>
      <x:c r="D98" s="3" t="str">
        <x:v>A simple 3D customization pattern; model asset loading was not verified live.</x:v>
      </x:c>
      <x:c r="E98" s="3" t="str">
        <x:v>Primary documentation/demo reference reviewed; exact logged-in flow and interaction not captured.</x:v>
      </x:c>
    </x:row>
    <x:row r="99" ht="24" hidden="0" customHeight="1">
      <x:c r="A99" s="8" t="str">
        <x:v>D6</x:v>
      </x:c>
      <x:c r="B99" s="8" t="str">
        <x:v>https://r3f.docs.pmnd.rs/getting-started/examples</x:v>
      </x:c>
      <x:c r="C99" s="8" t="str">
        <x:v>T-shirt configurator and glTF configurator examples.</x:v>
      </x:c>
      <x:c r="D99" s="8" t="str">
        <x:v>A reference for custom camera/material experiences when a single model-viewer element is insufficient.</x:v>
      </x:c>
      <x:c r="E99" s="8" t="str">
        <x:v>Primary documentation/demo reference reviewed; exact logged-in flow and interaction not captured.</x:v>
      </x:c>
    </x:row>
    <x:row r="100" ht="24" hidden="0" customHeight="1">
      <x:c r="A100" s="3" t="str">
        <x:v>D6</x:v>
      </x:c>
      <x:c r="B100" s="3" t="str">
        <x:v>https://konvajs.org/docs/sandbox/Canvas_Editor.html</x:v>
      </x:c>
      <x:c r="C100" s="3" t="str">
        <x:v>Canvas design-editor handles around user-added visual content.</x:v>
      </x:c>
      <x:c r="D100" s="3" t="str">
        <x:v>A 2D product-personalization reference rather than forcing every customization into 3D.</x:v>
      </x:c>
      <x:c r="E100" s="3" t="str">
        <x:v>Primary documentation/demo reference reviewed; exact logged-in flow and interaction not captured.</x:v>
      </x:c>
    </x:row>
    <x:row r="101" ht="24" hidden="0" customHeight="1">
      <x:c r="A101" s="8" t="str">
        <x:v>E1</x:v>
      </x:c>
      <x:c r="B101" s="8" t="str">
        <x:v>https://www.assistant-ui.com/elements/thread</x:v>
      </x:c>
      <x:c r="C101" s="8" t="str">
        <x:v>Reply streaming above a persistent composer; message actions and thread scrolling.</x:v>
      </x:c>
      <x:c r="D101" s="8" t="str">
        <x:v>Clean desktop thread hierarchy with behavior primitives; rendered demo inspected.</x:v>
      </x:c>
      <x:c r="E101" s="8" t="str">
        <x:v>Primary documentation/demo reference reviewed; exact logged-in flow and interaction not captured.</x:v>
      </x:c>
    </x:row>
    <x:row r="102" ht="24" hidden="0" customHeight="1">
      <x:c r="A102" s="3" t="str">
        <x:v>E1</x:v>
      </x:c>
      <x:c r="B102" s="3" t="str">
        <x:v>https://streamdown.ai/playground</x:v>
      </x:c>
      <x:c r="C102" s="3" t="str">
        <x:v>Simulate Stream with code fences, tables and multilingual Markdown.</x:v>
      </x:c>
      <x:c r="D102" s="3" t="str">
        <x:v>Shows the formatting failures a fluid chat UI must avoid; rendered output inspected.</x:v>
      </x:c>
      <x:c r="E102" s="3" t="str">
        <x:v>Primary documentation/demo reference reviewed; exact logged-in flow and interaction not captured.</x:v>
      </x:c>
    </x:row>
    <x:row r="103" ht="24" hidden="0" customHeight="1">
      <x:c r="A103" s="8" t="str">
        <x:v>E1</x:v>
      </x:c>
      <x:c r="B103" s="8" t="str">
        <x:v>https://ui.shadcn.com/docs/ai-elements/base/chat</x:v>
      </x:c>
      <x:c r="C103" s="8" t="str">
        <x:v>New-thread state and Message Scroller preserving reading position.</x:v>
      </x:c>
      <x:c r="D103" s="8" t="str">
        <x:v>Current successor to the legacy AI Elements chat pattern.</x:v>
      </x:c>
      <x:c r="E103" s="8" t="str">
        <x:v>Primary documentation/demo reference reviewed; exact logged-in flow and interaction not captured.</x:v>
      </x:c>
    </x:row>
    <x:row r="104" ht="24" hidden="0" customHeight="1">
      <x:c r="A104" s="3" t="str">
        <x:v>E2</x:v>
      </x:c>
      <x:c r="B104" s="3" t="str">
        <x:v>https://ui.shadcn.com/docs/ai-elements/base/plan</x:v>
      </x:c>
      <x:c r="C104" s="3" t="str">
        <x:v>Plan steps and progress, with an expandable step list.</x:v>
      </x:c>
      <x:c r="D104" s="3" t="str">
        <x:v>Separates intended work from current activity and completed outcomes.</x:v>
      </x:c>
      <x:c r="E104" s="3" t="str">
        <x:v>Primary documentation/demo reference reviewed; exact logged-in flow and interaction not captured.</x:v>
      </x:c>
    </x:row>
    <x:row r="105" ht="24" hidden="0" customHeight="1">
      <x:c r="A105" s="8" t="str">
        <x:v>E2</x:v>
      </x:c>
      <x:c r="B105" s="8" t="str">
        <x:v>https://ui.shadcn.com/docs/ai-elements/base/subagent</x:v>
      </x:c>
      <x:c r="C105" s="8" t="str">
        <x:v>Subagent run expanding to its tool calls and final result.</x:v>
      </x:c>
      <x:c r="D105" s="8" t="str">
        <x:v>Progressive disclosure keeps parallel activity readable.</x:v>
      </x:c>
      <x:c r="E105" s="8" t="str">
        <x:v>Primary documentation/demo reference reviewed; exact logged-in flow and interaction not captured.</x:v>
      </x:c>
    </x:row>
    <x:row r="106" ht="24" hidden="0" customHeight="1">
      <x:c r="A106" s="3" t="str">
        <x:v>E2</x:v>
      </x:c>
      <x:c r="B106" s="3" t="str">
        <x:v>https://www.assistant-ui.com/docs/tools/tool-ui</x:v>
      </x:c>
      <x:c r="C106" s="3" t="str">
        <x:v>Tool card changes through loading, result, error and interactive input states.</x:v>
      </x:c>
      <x:c r="D106" s="3" t="str">
        <x:v>Connects visible activity to actual tool lifecycle rather than an animated fake log.</x:v>
      </x:c>
      <x:c r="E106" s="3" t="str">
        <x:v>Primary documentation/demo reference reviewed; exact logged-in flow and interaction not captured.</x:v>
      </x:c>
    </x:row>
    <x:row r="107" ht="24" hidden="0" customHeight="1">
      <x:c r="A107" s="8" t="str">
        <x:v>E3</x:v>
      </x:c>
      <x:c r="B107" s="8" t="str">
        <x:v>https://microsoft.github.io/monaco-editor/</x:v>
      </x:c>
      <x:c r="C107" s="8" t="str">
        <x:v>Diff Editor: side-by-side modified lines with Revert Block controls.</x:v>
      </x:c>
      <x:c r="D107" s="8" t="str">
        <x:v>Concrete change review beats an opaque 'approve everything' prompt; rendered demo inspected.</x:v>
      </x:c>
      <x:c r="E107" s="8" t="str">
        <x:v>Primary documentation/demo reference reviewed; exact logged-in flow and interaction not captured.</x:v>
      </x:c>
    </x:row>
    <x:row r="108" ht="24" hidden="0" customHeight="1">
      <x:c r="A108" s="3" t="str">
        <x:v>E3</x:v>
      </x:c>
      <x:c r="B108" s="3" t="str">
        <x:v>https://ui.shadcn.com/docs/ai-elements/base/confirmation</x:v>
      </x:c>
      <x:c r="C108" s="3" t="str">
        <x:v>A tool pauses before execution and presents approve or deny.</x:v>
      </x:c>
      <x:c r="D108" s="3" t="str">
        <x:v>Makes the decision and pending action explicit within the work context.</x:v>
      </x:c>
      <x:c r="E108" s="3" t="str">
        <x:v>Primary documentation/demo reference reviewed; exact logged-in flow and interaction not captured.</x:v>
      </x:c>
    </x:row>
    <x:row r="109" ht="24" hidden="0" customHeight="1">
      <x:c r="A109" s="8" t="str">
        <x:v>E3</x:v>
      </x:c>
      <x:c r="B109" s="8" t="str">
        <x:v>https://www.assistant-ui.com/docs/tools/tool-ui#server-side-approval-gates</x:v>
      </x:c>
      <x:c r="C109" s="8" t="str">
        <x:v>Pending gate changes to approved/running, denied or a retryable response error.</x:v>
      </x:c>
      <x:c r="D109" s="8" t="str">
        <x:v>Correctly separates recording a decision from finishing the operation.</x:v>
      </x:c>
      <x:c r="E109" s="8" t="str">
        <x:v>Primary documentation/demo reference reviewed; exact logged-in flow and interaction not captured.</x:v>
      </x:c>
    </x:row>
    <x:row r="110" ht="24" hidden="0" customHeight="1">
      <x:c r="A110" s="3" t="str">
        <x:v>E4</x:v>
      </x:c>
      <x:c r="B110" s="3" t="str">
        <x:v>https://ui.shadcn.com/docs/ai-elements/base/inline-citation</x:v>
      </x:c>
      <x:c r="C110" s="3" t="str">
        <x:v>A citation embedded in a sentence opens its source context.</x:v>
      </x:c>
      <x:c r="D110" s="3" t="str">
        <x:v>Keeps evidence adjacent to the claim while preserving reading flow.</x:v>
      </x:c>
      <x:c r="E110" s="3" t="str">
        <x:v>Primary documentation/demo reference reviewed; exact logged-in flow and interaction not captured.</x:v>
      </x:c>
    </x:row>
    <x:row r="111" ht="24" hidden="0" customHeight="1">
      <x:c r="A111" s="8" t="str">
        <x:v>E4</x:v>
      </x:c>
      <x:c r="B111" s="8" t="str">
        <x:v>https://ui.shadcn.com/docs/ai-elements/base/sources</x:v>
      </x:c>
      <x:c r="C111" s="8" t="str">
        <x:v>The answer's source list expands into individual links.</x:v>
      </x:c>
      <x:c r="D111" s="8" t="str">
        <x:v>Supports inspection beyond a decorative citation number.</x:v>
      </x:c>
      <x:c r="E111" s="8" t="str">
        <x:v>Primary documentation/demo reference reviewed; exact logged-in flow and interaction not captured.</x:v>
      </x:c>
    </x:row>
    <x:row r="112" ht="24" hidden="0" customHeight="1">
      <x:c r="A112" s="3" t="str">
        <x:v>E4</x:v>
      </x:c>
      <x:c r="B112" s="3" t="str">
        <x:v>https://www.assistant-ui.com/docs/tools/generative-ui#citations</x:v>
      </x:c>
      <x:c r="C112" s="3" t="str">
        <x:v>Structured citation content inside generated UI.</x:v>
      </x:c>
      <x:c r="D112" s="3" t="str">
        <x:v>Supports provenance as explicit data rather than Markdown styling alone.</x:v>
      </x:c>
      <x:c r="E112" s="3" t="str">
        <x:v>Primary documentation/demo reference reviewed; exact logged-in flow and interaction not captured.</x:v>
      </x:c>
    </x:row>
    <x:row r="113" ht="24" hidden="0" customHeight="1">
      <x:c r="A113" s="8" t="str">
        <x:v>E5</x:v>
      </x:c>
      <x:c r="B113" s="8" t="str">
        <x:v>https://www.assistant-ui.com/docs/tools/generative-ui</x:v>
      </x:c>
      <x:c r="C113" s="8" t="str">
        <x:v>Model selects a known UI vocabulary, with typed cards, charts, forms and actions.</x:v>
      </x:c>
      <x:c r="D113" s="8" t="str">
        <x:v>Constrained components preserve brand and predictable behavior.</x:v>
      </x:c>
      <x:c r="E113" s="8" t="str">
        <x:v>Primary documentation/demo reference reviewed; exact logged-in flow and interaction not captured.</x:v>
      </x:c>
    </x:row>
    <x:row r="114" ht="24" hidden="0" customHeight="1">
      <x:c r="A114" s="3" t="str">
        <x:v>E5</x:v>
      </x:c>
      <x:c r="B114" s="3" t="str">
        <x:v>https://docs.copilotkit.ai/concepts/generative-ui-overview</x:v>
      </x:c>
      <x:c r="C114" s="3" t="str">
        <x:v>Compare controlled components, catalog-based A2UI and sandboxed MCP Apps.</x:v>
      </x:c>
      <x:c r="D114" s="3" t="str">
        <x:v>Shows the tradeoff between expressive freedom and reviewable surfaces; exclude Showcase code.</x:v>
      </x:c>
      <x:c r="E114" s="3" t="str">
        <x:v>Primary documentation/demo reference reviewed; exact logged-in flow and interaction not captured.</x:v>
      </x:c>
    </x:row>
    <x:row r="115" ht="24" hidden="0" customHeight="1">
      <x:c r="A115" s="8" t="str">
        <x:v>E5</x:v>
      </x:c>
      <x:c r="B115" s="8" t="str">
        <x:v>https://ai-sdk.dev/docs/ai-sdk-ui/generative-user-interfaces</x:v>
      </x:c>
      <x:c r="C115" s="8" t="str">
        <x:v>Typed tool result renders an interactive React component.</x:v>
      </x:c>
      <x:c r="D115" s="8" t="str">
        <x:v>A practical production pattern that reuses real application components.</x:v>
      </x:c>
      <x:c r="E115" s="8" t="str">
        <x:v>Primary documentation/demo reference reviewed; exact logged-in flow and interaction not captured.</x:v>
      </x:c>
    </x:row>
    <x:row r="116" ht="24" hidden="0" customHeight="1">
      <x:c r="A116" s="3" t="str">
        <x:v>F1</x:v>
      </x:c>
      <x:c r="B116" s="3" t="str">
        <x:v>https://linear.app/</x:v>
      </x:c>
      <x:c r="C116" s="3" t="str">
        <x:v>Hero promise followed by product-led sections and concrete product imagery.</x:v>
      </x:c>
      <x:c r="D116" s="3" t="str">
        <x:v>Shows hierarchy and proof that can be learned from without copying proprietary assets.</x:v>
      </x:c>
      <x:c r="E116" s="3" t="str">
        <x:v>Primary documentation/demo reference reviewed; exact logged-in flow and interaction not captured.</x:v>
      </x:c>
    </x:row>
    <x:row r="117" ht="24" hidden="0" customHeight="1">
      <x:c r="A117" s="8" t="str">
        <x:v>F1</x:v>
      </x:c>
      <x:c r="B117" s="8" t="str">
        <x:v>https://stripe.com/</x:v>
      </x:c>
      <x:c r="C117" s="8" t="str">
        <x:v>Top-level value proposition, product breadth and trust proof leading into conversion.</x:v>
      </x:c>
      <x:c r="D117" s="8" t="str">
        <x:v>Balances ambition with scannable detail; reference only, not an OSS code source.</x:v>
      </x:c>
      <x:c r="E117" s="8" t="str">
        <x:v>Primary documentation/demo reference reviewed; exact logged-in flow and interaction not captured.</x:v>
      </x:c>
    </x:row>
    <x:row r="118" ht="24" hidden="0" customHeight="1">
      <x:c r="A118" s="3" t="str">
        <x:v>F1</x:v>
      </x:c>
      <x:c r="B118" s="3" t="str">
        <x:v>https://magicui.design/docs/components/bento-grid</x:v>
      </x:c>
      <x:c r="C118" s="3" t="str">
        <x:v>Feature bento cards combining small previews, short labels and clear spacing.</x:v>
      </x:c>
      <x:c r="D118" s="3" t="str">
        <x:v>Permissive reusable pattern; rendered demo inspected.</x:v>
      </x:c>
      <x:c r="E118" s="3" t="str">
        <x:v>Primary documentation/demo reference reviewed; exact logged-in flow and interaction not captured.</x:v>
      </x:c>
    </x:row>
    <x:row r="119" ht="24" hidden="0" customHeight="1">
      <x:c r="A119" s="8" t="str">
        <x:v>F2</x:v>
      </x:c>
      <x:c r="B119" s="8" t="str">
        <x:v>https://animejs.com/documentation/events/onscroll/</x:v>
      </x:c>
      <x:c r="C119" s="8" t="str">
        <x:v>Scroll observer synchronizes animation progress with the section's viewport position.</x:v>
      </x:c>
      <x:c r="D119" s="8" t="str">
        <x:v>Explicit timing controls support authored stories instead of arbitrary reveals.</x:v>
      </x:c>
      <x:c r="E119" s="8" t="str">
        <x:v>Primary documentation/demo reference reviewed; exact logged-in flow and interaction not captured.</x:v>
      </x:c>
    </x:row>
    <x:row r="120" ht="24" hidden="0" customHeight="1">
      <x:c r="A120" s="3" t="str">
        <x:v>F2</x:v>
      </x:c>
      <x:c r="B120" s="3" t="str">
        <x:v>https://animejs.com/</x:v>
      </x:c>
      <x:c r="C120" s="3" t="str">
        <x:v>Large layered animated hero composition.</x:v>
      </x:c>
      <x:c r="D120" s="3" t="str">
        <x:v>Visually strong official engine showcase, inspected in browser.</x:v>
      </x:c>
      <x:c r="E120" s="3" t="str">
        <x:v>Primary documentation/demo reference reviewed; exact logged-in flow and interaction not captured.</x:v>
      </x:c>
    </x:row>
    <x:row r="121" ht="24" hidden="0" customHeight="1">
      <x:c r="A121" s="8" t="str">
        <x:v>F2</x:v>
      </x:c>
      <x:c r="B121" s="8" t="str">
        <x:v>https://lenis.dev/</x:v>
      </x:c>
      <x:c r="C121" s="8" t="str">
        <x:v>'Scroll to explore' narrative and transition into its scroll-synchronization explanation.</x:v>
      </x:c>
      <x:c r="D121" s="8" t="str">
        <x:v>Official library reference with expressive typography and explicit scroll cue; rendered home inspected after loading.</x:v>
      </x:c>
      <x:c r="E121" s="8" t="str">
        <x:v>Primary documentation/demo reference reviewed; exact logged-in flow and interaction not captured.</x:v>
      </x:c>
    </x:row>
    <x:row r="122" ht="24" hidden="0" customHeight="1">
      <x:c r="A122" s="3" t="str">
        <x:v>F3</x:v>
      </x:c>
      <x:c r="B122" s="3" t="str">
        <x:v>https://www.radix-ui.com/primitives/docs/components/navigation-menu</x:v>
      </x:c>
      <x:c r="C122" s="3" t="str">
        <x:v>Menu opens linked content with a shared animated viewport and indicator.</x:v>
      </x:c>
      <x:c r="D122" s="3" t="str">
        <x:v>A specific mega-menu model with accessibility behavior documented.</x:v>
      </x:c>
      <x:c r="E122" s="3" t="str">
        <x:v>Primary documentation/demo reference reviewed; exact logged-in flow and interaction not captured.</x:v>
      </x:c>
    </x:row>
    <x:row r="123" ht="24" hidden="0" customHeight="1">
      <x:c r="A123" s="8" t="str">
        <x:v>F3</x:v>
      </x:c>
      <x:c r="B123" s="8" t="str">
        <x:v>https://ui.shadcn.com/docs/components/base/navigation-menu</x:v>
      </x:c>
      <x:c r="C123" s="8" t="str">
        <x:v>Composed top-level links and expanded navigation content.</x:v>
      </x:c>
      <x:c r="D123" s="8" t="str">
        <x:v>Current themeable React implementation, suitable for branded desktop websites.</x:v>
      </x:c>
      <x:c r="E123" s="8" t="str">
        <x:v>Primary documentation/demo reference reviewed; exact logged-in flow and interaction not captured.</x:v>
      </x:c>
    </x:row>
    <x:row r="124" ht="24" hidden="0" customHeight="1">
      <x:c r="A124" s="3" t="str">
        <x:v>F3</x:v>
      </x:c>
      <x:c r="B124" s="3" t="str">
        <x:v>https://react-aria.adobe.com/Menu</x:v>
      </x:c>
      <x:c r="C124" s="3" t="str">
        <x:v>Keyboard and submenu behavior including focus/typeahead.</x:v>
      </x:c>
      <x:c r="D124" s="3" t="str">
        <x:v>Useful interaction specification; action menus and navigation links must retain correct semantics.</x:v>
      </x:c>
      <x:c r="E124" s="3" t="str">
        <x:v>Primary documentation/demo reference reviewed; exact logged-in flow and interaction not captured.</x:v>
      </x:c>
    </x:row>
  </x:sheetData>
  <x:pageMargins left="0.7" right="0.7" top="0.75" bottom="0.75" header="0.3" footer="0.3"/>
  <x:tableParts count="1">
    <x:tablePart xmlns:r="http://schemas.openxmlformats.org/officeDocument/2006/relationships" r:id="R6d9d6a7ca4824581"/>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9" hidden="0" customWidth="1"/>
    <x:col min="2" max="2" width="90" hidden="0" customWidth="1"/>
    <x:col min="3" max="3" width="100" hidden="0" customWidth="1"/>
    <x:col min="4" max="4" width="100" hidden="0" customWidth="1"/>
  </x:cols>
  <x:sheetData>
    <x:row r="1" ht="34" hidden="0" customHeight="1">
      <x:c r="A1" s="7" t="str">
        <x:v>Scenario</x:v>
      </x:c>
      <x:c r="B1" s="7" t="str">
        <x:v>Default resource combination</x:v>
      </x:c>
      <x:c r="C1" s="7" t="str">
        <x:v>Critical design requirement</x:v>
      </x:c>
      <x:c r="D1" s="7" t="str">
        <x:v>Validation to run</x:v>
      </x:c>
    </x:row>
    <x:row r="2" ht="15" hidden="0" customHeight="1">
      <x:c r="A2" s="3" t="str">
        <x:v>Simple charts</x:v>
      </x:c>
      <x:c r="B2" s="3" t="str">
        <x:v>Recharts; shadcn/ui</x:v>
      </x:c>
      <x:c r="C2" s="3" t="str">
        <x:v>Readable axes, units, baselines, accessible summary and consistent series colours.</x:v>
      </x:c>
      <x:c r="D2" s="3" t="str">
        <x:v>Check keyboard focus, tooltip overflow, empty data and reduced motion.</x:v>
      </x:c>
    </x:row>
    <x:row r="3" ht="15" hidden="0" customHeight="1">
      <x:c r="A3" s="8" t="str">
        <x:v>KPI dashboards</x:v>
      </x:c>
      <x:c r="B3" s="8" t="str">
        <x:v>Recharts; Apache ECharts; TanStack Table; TanStack Virtual</x:v>
      </x:c>
      <x:c r="C3" s="8" t="str">
        <x:v>KPI hierarchy, shared time range, saved filters and partial-failure states.</x:v>
      </x:c>
      <x:c r="D3" s="8" t="str">
        <x:v>Run realistic row counts and cross-filtering; check input latency and fixed headers.</x:v>
      </x:c>
    </x:row>
    <x:row r="4" ht="15" hidden="0" customHeight="1">
      <x:c r="A4" s="3" t="str">
        <x:v>Real-time trading charts</x:v>
      </x:c>
      <x:c r="B4" s="3" t="str">
        <x:v>Lightweight Charts; Apache ECharts; AG Grid Community</x:v>
      </x:c>
      <x:c r="C4" s="3" t="str">
        <x:v>Stable pan/zoom, batched tick updates, decimal precision, reconnect and stale-feed indicators.</x:v>
      </x:c>
      <x:c r="D4" s="3" t="str">
        <x:v>Replay expected tick rate and burst traffic; measure dropped frames and memory.</x:v>
      </x:c>
    </x:row>
    <x:row r="5" ht="15" hidden="0" customHeight="1">
      <x:c r="A5" s="8" t="str">
        <x:v>Live maps</x:v>
      </x:c>
      <x:c r="B5" s="8" t="str">
        <x:v>MapLibre GL JS; deck.gl</x:v>
      </x:c>
      <x:c r="C5" s="8" t="str">
        <x:v>Separate basemap from data layers; cluster, filter and communicate stale positions.</x:v>
      </x:c>
      <x:c r="D5" s="8" t="str">
        <x:v>Test visible-layer density, picking, fly-to cancellation, GPU memory and lost WebGL context.</x:v>
      </x:c>
    </x:row>
    <x:row r="6" ht="15" hidden="0" customHeight="1">
      <x:c r="A6" s="3" t="str">
        <x:v>Landing pages</x:v>
      </x:c>
      <x:c r="B6" s="3" t="str">
        <x:v>Magic UI (free components); Motion; Tailwind CSS</x:v>
      </x:c>
      <x:c r="C6" s="3" t="str">
        <x:v>A strong hero, credible proof, clear pricing and keyboard-operable navigation.</x:v>
      </x:c>
      <x:c r="D6" s="3" t="str">
        <x:v>Check loading shift, reduced motion, dark/light contrast and desktop narrow widths.</x:v>
      </x:c>
    </x:row>
    <x:row r="7" ht="15" hidden="0" customHeight="1">
      <x:c r="A7" s="8" t="str">
        <x:v>3D product configurators</x:v>
      </x:c>
      <x:c r="B7" s="8" t="str">
        <x:v>React Three Fiber; &lt;model-viewer&gt;</x:v>
      </x:c>
      <x:c r="C7" s="8" t="str">
        <x:v>Responsive variant changes, honest materials, camera controls, price feedback and poster fallback.</x:v>
      </x:c>
      <x:c r="D7" s="8" t="str">
        <x:v>Test asset budgets, texture memory, device pixel ratio, context loss and a DOM alternative.</x:v>
      </x:c>
    </x:row>
    <x:row r="8" ht="24" hidden="0" customHeight="1">
      <x:c r="A8" s="3" t="str">
        <x:v>Multiplayer whiteboards</x:v>
      </x:c>
      <x:c r="B8" s="3" t="str">
        <x:v>Excalidraw; Yjs; Automerge</x:v>
      </x:c>
      <x:c r="C8" s="3" t="str">
        <x:v>Compare Excalidraw with a custom canvas using Yjs OR Automerge; these are alternatives, not a tested combined stack. Keep presence separate from persisted content and define local undo.</x:v>
      </x:c>
      <x:c r="D8" s="3" t="str">
        <x:v>Test concurrent edits, offline merge, long sessions and late join. Embedding Excalidraw does not include turnkey hosted multiplayer.</x:v>
      </x:c>
    </x:row>
    <x:row r="9" ht="24" hidden="0" customHeight="1">
      <x:c r="A9" s="8" t="str">
        <x:v>Video editing timelines</x:v>
      </x:c>
      <x:c r="B9" s="8" t="str">
        <x:v>OpenReel Video (MIT application); wavesurfer.js; Konva; Dockview (MIT core)</x:v>
      </x:c>
      <x:c r="C9" s="8" t="str">
        <x:v>Assess OpenReel as a complete editor reference; use focused primitives for a custom timeline. Frame-accurate tracks, snapping, trimming and waveform peaks matter.</x:v>
      </x:c>
      <x:c r="D9" s="8" t="str">
        <x:v>OpenReel is watch/alpha and has codec-licence dependencies. Test decode/seek latency, long assets, A/V sync, export and undo.</x:v>
      </x:c>
    </x:row>
    <x:row r="10" ht="15" hidden="0" customHeight="1">
      <x:c r="A10" s="3" t="str">
        <x:v>Network graphs</x:v>
      </x:c>
      <x:c r="B10" s="3" t="str">
        <x:v>Sigma.js + Graphology; React Flow; deck.gl</x:v>
      </x:c>
      <x:c r="C10" s="3" t="str">
        <x:v>Use Sigma for network exploration, React Flow for explicit node editing and ports.</x:v>
      </x:c>
      <x:c r="D10" s="3" t="str">
        <x:v>Test layout in a worker, search, neighbourhood isolation, labels and keyboard alternatives.</x:v>
      </x:c>
    </x:row>
    <x:row r="11" ht="15" hidden="0" customHeight="1">
      <x:c r="A11" s="8" t="str">
        <x:v>AI agent interfaces</x:v>
      </x:c>
      <x:c r="B11" s="8" t="str">
        <x:v>assistant-ui; AI SDK (Core + UI); CopilotKit (MIT SDKs and TypeScript runtime); Monaco Editor</x:v>
      </x:c>
      <x:c r="C11" s="8" t="str">
        <x:v>Streaming, stop/retry, plans, tool outcomes, source anchors and scoped review before side effects.</x:v>
      </x:c>
      <x:c r="D11" s="8" t="str">
        <x:v>Test interrupted streams, rejected approvals, stale plans, replay, tool errors and citation targets.</x:v>
      </x:c>
    </x:row>
  </x:sheetData>
  <x:pageMargins left="0.7" right="0.7" top="0.75" bottom="0.75" header="0.3" footer="0.3"/>
  <x:tableParts count="1">
    <x:tablePart xmlns:r="http://schemas.openxmlformats.org/officeDocument/2006/relationships" r:id="Rdd777fa19fd34d04"/>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9" hidden="0" customWidth="1"/>
    <x:col min="2" max="2" width="28" hidden="0" customWidth="1"/>
    <x:col min="3" max="3" width="100" hidden="0" customWidth="1"/>
    <x:col min="4" max="4" width="100" hidden="0" customWidth="1"/>
  </x:cols>
  <x:sheetData>
    <x:row r="1" ht="38" hidden="0" customHeight="1">
      <x:c r="A1" s="20" t="str">
        <x:v>Resource</x:v>
      </x:c>
      <x:c r="B1" s="20" t="str">
        <x:v>Disposition</x:v>
      </x:c>
      <x:c r="C1" s="20" t="str">
        <x:v>Reason</x:v>
      </x:c>
      <x:c r="D1" s="20" t="str">
        <x:v>Evidence URLs</x:v>
      </x:c>
    </x:row>
    <x:row r="2" ht="24" hidden="0" customHeight="1">
      <x:c r="A2" s="3" t="str">
        <x:v>cmdk (dip/cmdk; formerly pacocoursey/cmdk)</x:v>
      </x:c>
      <x:c r="B2" s="3" t="str">
        <x:v>excluded_maintenance</x:v>
      </x:c>
      <x:c r="C2" s="3" t="str">
        <x:v>MIT and attractive, but last observed commit 2025-10-29 and release v1.1.1 on 2025-03-14 fail the 2026-04-17 activity cutoff. Existing shadcn command variants may inherit this dependency.</x:v>
      </x:c>
      <x:c r="D2" s="3" t="str">
        <x:v>https://github.com/dip/cmdk/commit/dd2250ed608443e8f32bafc5fa2d1d07a3746aa3; https://github.com/dip/cmdk/releases/tag/v1.1.1</x:v>
      </x:c>
    </x:row>
    <x:row r="3" ht="15" hidden="0" customHeight="1">
      <x:c r="A3" s="8" t="str">
        <x:v>Vaul</x:v>
      </x:c>
      <x:c r="B3" s="8" t="str">
        <x:v>excluded_maintenance</x:v>
      </x:c>
      <x:c r="C3" s="8" t="str">
        <x:v>MIT, but its own README explicitly says the repository is unmaintained; latest push is 2025-10-03. Prefer current Base UI Drawer for a new default.</x:v>
      </x:c>
      <x:c r="D3" s="8" t="str">
        <x:v>https://github.com/emilkowalski/vaul; https://api.github.com/repos/emilkowalski/vaul</x:v>
      </x:c>
    </x:row>
    <x:row r="4" ht="24" hidden="0" customHeight="1">
      <x:c r="A4" s="3" t="str">
        <x:v>GSAP</x:v>
      </x:c>
      <x:c r="B4" s="3" t="str">
        <x:v>source_available_exception</x:v>
      </x:c>
      <x:c r="C4" s="3" t="str">
        <x:v>Free commercial use is permitted under a custom licence with prohibited competitive visual-animation-builder uses. It is not a permissive OSS default; the official FAQ allows AI-generated GSAP code, so do not claim all AI generation is prohibited.</x:v>
      </x:c>
      <x:c r="D4" s="3" t="str">
        <x:v>https://gsap.com/community/standard-license/</x:v>
      </x:c>
    </x:row>
    <x:row r="5" ht="24" hidden="0" customHeight="1">
      <x:c r="A5" s="8" t="str">
        <x:v>axe-core</x:v>
      </x:c>
      <x:c r="B5" s="8" t="str">
        <x:v>copyleft_exception</x:v>
      </x:c>
      <x:c r="C5" s="8" t="str">
        <x:v>Actively maintained (v4.14.0 on 2026-10-05) but MPL-2.0 is file-level copyleft. Valuable testing tool; kept outside the permissive implementation shortlist.</x:v>
      </x:c>
      <x:c r="D5" s="8" t="str">
        <x:v>https://github.com/dequelabs/axe-core/blob/develop/LICENSE; https://github.com/dequelabs/axe-core/releases/tag/v4.14.0</x:v>
      </x:c>
    </x:row>
    <x:row r="6" ht="24" hidden="0" customHeight="1">
      <x:c r="A6" s="3" t="str">
        <x:v>AG Grid Enterprise</x:v>
      </x:c>
      <x:c r="B6" s="3" t="str">
        <x:v>commercial_package_excluded</x:v>
      </x:c>
      <x:c r="C6" s="3" t="str">
        <x:v>AG Grid Community and framework wrappers are MIT; Enterprise is a separate commercial package. Catalogue only the Community scope and verify each required feature in the edition matrix.</x:v>
      </x:c>
      <x:c r="D6" s="3" t="str">
        <x:v>https://github.com/ag-grid/ag-grid/blob/latest/LICENSE.txt; https://www.ag-grid.com/react-data-grid/community-vs-enterprise/</x:v>
      </x:c>
    </x:row>
    <x:row r="7" ht="24" hidden="0" customHeight="1">
      <x:c r="A7" s="8" t="str">
        <x:v>Dockview Enterprise</x:v>
      </x:c>
      <x:c r="B7" s="8" t="str">
        <x:v>source_available_package_excluded</x:v>
      </x:c>
      <x:c r="C7" s="8" t="str">
        <x:v>Core and framework packages remain MIT. The separate dockview-enterprise package is proprietary under a commercial licence despite residing in the public monorepo.</x:v>
      </x:c>
      <x:c r="D7" s="8" t="str">
        <x:v>https://github.com/dockview/dockview/blob/master/LICENCE.md; https://dockview.dev/blog/dockview-enterprise/</x:v>
      </x:c>
    </x:row>
    <x:row r="8" ht="24" hidden="0" customHeight="1">
      <x:c r="A8" s="3" t="str">
        <x:v>tldraw SDK</x:v>
      </x:c>
      <x:c r="B8" s="3" t="str">
        <x:v>source_available_excluded</x:v>
      </x:c>
      <x:c r="C8" s="3" t="str">
        <x:v>Current custom licence permits development use but prohibits production without a separate licence/key. Keep as product-pattern reference; do not mark MIT.</x:v>
      </x:c>
      <x:c r="D8" s="3" t="str">
        <x:v>https://github.com/tldraw/tldraw/blob/main/LICENSE.md</x:v>
      </x:c>
    </x:row>
    <x:row r="9" ht="24" hidden="0" customHeight="1">
      <x:c r="A9" s="8" t="str">
        <x:v>Remotion</x:v>
      </x:c>
      <x:c r="B9" s="8" t="str">
        <x:v>source_available_excluded</x:v>
      </x:c>
      <x:c r="C9" s="8" t="str">
        <x:v>Custom licence: free use limited to individuals, nonprofits and for-profit organisations with up to three employees, with additional derivative/relicensing limits. Not a permissive generator default.</x:v>
      </x:c>
      <x:c r="D9" s="8" t="str">
        <x:v>https://github.com/remotion-dev/remotion/blob/main/LICENSE.md</x:v>
      </x:c>
    </x:row>
    <x:row r="10" ht="36" hidden="0" customHeight="1">
      <x:c r="A10" s="3" t="str">
        <x:v>ffmpeg.wasm</x:v>
      </x:c>
      <x:c r="B10" s="3" t="str">
        <x:v>maintenance_and_dependency_licence_excluded</x:v>
      </x:c>
      <x:c r="C10" s="3" t="str">
        <x:v>Latest release v12.15 is 2025-01-07; latest default-branch commit observed is 2025-09-17 (README only). A 2026 pushed_at does not verify meaningful recent core maintenance. Wrapper is MIT; @ffmpeg/core inherits FFmpeg/external-library licences, commonly LGPL/GPL depending build. Also heavy memory/CPU and no editor UI.</x:v>
      </x:c>
      <x:c r="D10" s="3" t="str">
        <x:v>https://github.com/ffmpegwasm/ffmpeg.wasm/releases/tag/v12.15; https://github.com/ffmpegwasm/ffmpeg.wasm/commit/f876f907c7e9b9bf51d4ed0b913a855a63ae63fc; https://ffmpegwasm.netlify.app/docs/faq/</x:v>
      </x:c>
    </x:row>
    <x:row r="11" ht="24" hidden="0" customHeight="1">
      <x:c r="A11" s="8" t="str">
        <x:v>vis-timeline</x:v>
      </x:c>
      <x:c r="B11" s="8" t="str">
        <x:v>situational_not_shortlisted</x:v>
      </x:c>
      <x:c r="C11" s="8" t="str">
        <x:v>Active v8.5.4 release 2026-08-12, so not abandoned. Its default/reference visual language needs substantial reworking for this visual-modernity brief; prefer modern calendar styling or custom media primitives. Do not describe its schedule range UI as a complete video editor.</x:v>
      </x:c>
      <x:c r="D11" s="8" t="str">
        <x:v>https://github.com/visjs/vis-timeline/releases/tag/v8.5.4; https://visjs.github.io/vis-timeline/docs/timeline/</x:v>
      </x:c>
    </x:row>
    <x:row r="12" ht="24" hidden="0" customHeight="1">
      <x:c r="A12" s="3" t="str">
        <x:v>FullCalendar Premium</x:v>
      </x:c>
      <x:c r="B12" s="3" t="str">
        <x:v>paid_feature_boundary</x:v>
      </x:c>
      <x:c r="C12" s="3" t="str">
        <x:v>Standard is MIT and included; resource timeline/resource scheduling are premium separately licensed plugins and excluded from permissive capability tags.</x:v>
      </x:c>
      <x:c r="D12" s="3" t="str">
        <x:v>https://fullcalendar.io/license; https://fullcalendar.io/demos</x:v>
      </x:c>
    </x:row>
    <x:row r="13" ht="24" hidden="0" customHeight="1">
      <x:c r="A13" s="8" t="str">
        <x:v>Schedule-X premium plugins</x:v>
      </x:c>
      <x:c r="B13" s="8" t="str">
        <x:v>paid_feature_boundary</x:v>
      </x:c>
      <x:c r="C13" s="8" t="str">
        <x:v>Core is MIT and included; current starred drag/drop, resize, Gantt, resource scheduler and other premium plugins are excluded. A rich homepage demo is not proof all shown interactions are MIT.</x:v>
      </x:c>
      <x:c r="D13" s="8" t="str">
        <x:v>https://schedule-x.dev/; https://schedule-x.dev/premium; https://github.com/schedule-x/schedule-x/blob/main/LICENSE</x:v>
      </x:c>
    </x:row>
    <x:row r="14" ht="24" hidden="0" customHeight="1">
      <x:c r="A14" s="3" t="str">
        <x:v>Mapbox GL JS</x:v>
      </x:c>
      <x:c r="B14" s="3" t="str">
        <x:v>proprietary_alternative_excluded</x:v>
      </x:c>
      <x:c r="C14" s="3" t="str">
        <x:v>Use MapLibre as the permissive map-renderer default. Mapbox code/services require their own terms; tile/data costs and rights are separate from renderer licensing.</x:v>
      </x:c>
      <x:c r="D14" s="3" t="str">
        <x:v>https://github.com/maplibre/maplibre-gl-js; https://github.com/maplibre/maplibre-gl-js/blob/main/LICENSE.txt</x:v>
      </x:c>
    </x:row>
    <x:row r="15" ht="36" hidden="0" customHeight="1">
      <x:c r="A15" s="8" t="str">
        <x:v>OpenCut</x:v>
      </x:c>
      <x:c r="B15" s="8" t="str">
        <x:v>watch_rewrite_not_shortlisted</x:v>
      </x:c>
      <x:c r="C15" s="8" t="str">
        <x:v>MIT project with major adoption and current work, but official README says a ground-up Rust rewrite is in progress and outside contributions are not open yet; classic remains the recommended version/demo. Do not transfer classic capabilities to the new Editor API or treat star count as rewrite readiness. FFmpeg distribution licensing also needs build-level review.</x:v>
      </x:c>
      <x:c r="D15" s="8" t="str">
        <x:v>https://github.com/OpenCut-app/OpenCut; https://github.com/OpenCut-app/OpenCut/blob/main/README.md</x:v>
      </x:c>
    </x:row>
    <x:row r="16" ht="24" hidden="0" customHeight="1">
      <x:c r="A16" s="3" t="str">
        <x:v>React Bits</x:v>
      </x:c>
      <x:c r="B16" s="3" t="str">
        <x:v>source_available_excluded</x:v>
      </x:c>
      <x:c r="C16" s="3" t="str">
        <x:v>Current LICENSE.md is MIT + Commons Clause and restricts selling, sublicensing or redistributing the components themselves. Not permissive OSS for a generator/library source pool. Repo actively maintained, so exclusion is licence scope, not abandonment.</x:v>
      </x:c>
      <x:c r="D16" s="3" t="str">
        <x:v>https://github.com/DavidHDev/react-bits/blob/main/LICENSE.md; https://github.com/DavidHDev/react-bits; https://api.github.com/repos/DavidHDev/react-bits/commits?per_page=1</x:v>
      </x:c>
    </x:row>
    <x:row r="17" ht="36" hidden="0" customHeight="1">
      <x:c r="A17" s="8" t="str">
        <x:v>prompt-kit</x:v>
      </x:c>
      <x:c r="B17" s="8" t="str">
        <x:v>maintenance_gate_not_met</x:v>
      </x:c>
      <x:c r="C17" s="8" t="str">
        <x:v>As of2026-10-17, latest commit Sep28 is a showcase update. The preceding15-commit history has substantive code/docs only Mar12 or earlier, outside Apr17-Oct17. MIT and attractive, but no qualifying six-month maintenance established.</x:v>
      </x:c>
      <x:c r="D17" s="8" t="str">
        <x:v>https://api.github.com/repos/ibelick/prompt-kit/commits?per_page=15; https://github.com/ibelick/prompt-kit/commit/5a9496635cc0e1bf7679fe2a9e35d9b36b99c08a; https://github.com/ibelick/prompt-kit/blob/main/LICENCE.md</x:v>
      </x:c>
    </x:row>
    <x:row r="18" ht="24" hidden="0" customHeight="1">
      <x:c r="A18" s="3" t="str">
        <x:v>AI Elements (legacy Vercel repo/CLI)</x:v>
      </x:c>
      <x:c r="B18" s="3" t="str">
        <x:v>deprecated_source_excluded</x:v>
      </x:c>
      <x:c r="C18" s="3" t="str">
        <x:v>Apache2.0. Release1.9.1 on2026-10-14 only adds notice: moving to shadcn/ui; old CLI deprecated end November2026. Prior substantive release Mar12 is outside six months. New work should use shadcn/ui AI patterns; existing copied code continues working.</x:v>
      </x:c>
      <x:c r="D18" s="3" t="str">
        <x:v>https://github.com/vercel/ai-elements/releases/tag/ai-elements%401.9.1; https://ui.shadcn.com/docs/ai-elements; https://github.com/vercel/ai-elements/blob/main/LICENSE</x:v>
      </x:c>
    </x:row>
    <x:row r="19" ht="24" hidden="0" customHeight="1">
      <x:c r="A19" s="8" t="str">
        <x:v>CopilotKit Showcase and Intelligence</x:v>
      </x:c>
      <x:c r="B19" s="8" t="str">
        <x:v>separate_terms_excluded</x:v>
      </x:c>
      <x:c r="C19" s="8" t="str">
        <x:v>Core SDKs/TypeScript runtime are MIT and remain included. showcase/ has its own Source Available licence, with commercial/competitive restrictions; Intelligence also has separate terms. Never inherit root MIT classification across these products.</x:v>
      </x:c>
      <x:c r="D19" s="8" t="str">
        <x:v>https://github.com/CopilotKit/CopilotKit/blob/main/showcase/LICENSE; https://docs.copilotkit.ai/concepts/oss-vs-enterprise</x:v>
      </x:c>
    </x:row>
    <x:row r="20" ht="24" hidden="0" customHeight="1">
      <x:c r="A20" s="3" t="str">
        <x:v>AI SDK RSC</x:v>
      </x:c>
      <x:c r="B20" s="3" t="str">
        <x:v>experimental_not_core</x:v>
      </x:c>
      <x:c r="C20" s="3" t="str">
        <x:v>Official current overview calls RSC experimental and recommends AI SDK UI for production. Use typed tools rendering registered React components in the core shortlist.</x:v>
      </x:c>
      <x:c r="D20" s="3" t="str">
        <x:v>https://ai-sdk.dev/docs/ai-sdk-rsc/overview; https://ai-sdk.dev/docs/ai-sdk-ui/generative-user-interfaces</x:v>
      </x:c>
    </x:row>
    <x:row r="21" ht="36" hidden="0" customHeight="1">
      <x:c r="A21" s="8" t="str">
        <x:v>webgl-plot</x:v>
      </x:c>
      <x:c r="B21" s="8" t="str">
        <x:v>excluded_maintenance</x:v>
      </x:c>
      <x:c r="C21" s="8" t="str">
        <x:v>Fails the required 2026-04-17 cutoff: latest default-branch commit is 2026-02-16; latest GitHub release v0.7.2 is 2024-12-24. Its native WebGL waveform renderer is relevant, but no qualifying recent maintenance is established.</x:v>
      </x:c>
      <x:c r="D21" s="8" t="str">
        <x:v>https://api.github.com/repos/danchitnis/webgl-plot; https://api.github.com/repos/danchitnis/webgl-plot/commits?per_page=5; https://github.com/danchitnis/webgl-plot/commit/d518667f75c5e288782f30b92f5dc6530833c4fb; https://github.com/danchitnis/webgl-plot/releases/tag/v0.7.2; https://github.com/danchitnis/webgl-plot/blob/webglplot-v2/LICENSE</x:v>
      </x:c>
    </x:row>
    <x:row r="22" ht="36" hidden="0" customHeight="1">
      <x:c r="A22" s="3" t="str">
        <x:v>TimeChart</x:v>
      </x:c>
      <x:c r="B22" s="3" t="str">
        <x:v>excluded_maintenance</x:v>
      </x:c>
      <x:c r="C22" s="3" t="str">
        <x:v>Fails the required 2026-04-17 cutoff: latest default-branch commit is 2024-01-28; latest release v1.0.0-beta.10 is 2023-06-11. Do not infer meaningful activity from pushed_at (2024-06-10).</x:v>
      </x:c>
      <x:c r="D22" s="3" t="str">
        <x:v>https://api.github.com/repos/huww98/TimeChart; https://api.github.com/repos/huww98/TimeChart/commits?per_page=5; https://github.com/huww98/TimeChart/commit/6d1d26c70f03a71e321a27c9bb49d2896693910b; https://github.com/huww98/TimeChart/releases/tag/v1.0.0-beta.10; https://github.com/huww98/TimeChart/blob/master/LICENSE</x:v>
      </x:c>
    </x:row>
    <x:row r="23" ht="36" hidden="0" customHeight="1">
      <x:c r="A23" s="8" t="str">
        <x:v>Plotly.js scattergl</x:v>
      </x:c>
      <x:c r="B23" s="8" t="str">
        <x:v>active_alternative_not_visually_qualified_for_shortlist</x:v>
      </x:c>
      <x:c r="C23" s="8" t="str">
        <x:v>Active MIT GPU chart alternative: v4.1.2 released 2026-10-05, meaningful commits 2026-10-16, about 18,400 stars. Official scattergl demos include 100,000 and 1,000,000 points and incremental extendTraces. A tailored visual theme and sustained streaming benchmark remain necessary before selecting it as a default.</x:v>
      </x:c>
      <x:c r="D23" s="8" t="str">
        <x:v>https://api.github.com/repos/plotly/plotly.js; https://github.com/plotly/plotly.js/releases/tag/v4.1.2; https://github.com/plotly/plotly.js/commit/8ffa227ce4799a32340e4bc8966a70b22187fc8a; https://github.com/plotly/plotly.js/blob/main/LICENSE; https://plotly.com/javascript/webgl-vs-svg/; https://plotly.com/javascript/react/; https://plotly.com/javascript/plotlyjs-function-reference/</x:v>
      </x:c>
    </x:row>
    <x:row r="24" ht="24" hidden="0" customHeight="1">
      <x:c r="A24" s="3" t="str">
        <x:v>Park UI</x:v>
      </x:c>
      <x:c r="B24" s="3" t="str">
        <x:v>reject_maintenance_gate</x:v>
      </x:c>
      <x:c r="C24" s="3" t="str">
        <x:v>MIT, but latest default-branch code commit 2026-02-21 and latest GitHub release 2024-11-22 are outside Apr17-Oct17. Ark/Panda activity does not qualify Park itself.</x:v>
      </x:c>
      <x:c r="D24" s="3" t="str">
        <x:v>https://operationnation.co/blog/nextjs-app-router-migration-with-sanity-part-2; https://github.com/chakra-ui/park-ui</x:v>
      </x:c>
    </x:row>
    <x:row r="25" ht="24" hidden="0" customHeight="1">
      <x:c r="A25" s="3" t="str">
        <x:v>Animate UI</x:v>
      </x:c>
      <x:c r="B25" s="3" t="str">
        <x:v>reject_licence_and_maintenance</x:v>
      </x:c>
      <x:c r="C25" s="3" t="str">
        <x:v>README says MIT, but actual LICENSE.md is MIT+Commons Clause with restrictions on redistributing the components themselves. Last default-branch commit is 2025-12-31. Both licence and six-month maintenance fail.</x:v>
      </x:c>
      <x:c r="D25" s="3" t="str">
        <x:v>https://21st.dev/community/libraries/s/motion; https://github.com/imskyleen/animate-ui</x:v>
      </x:c>
    </x:row>
    <x:row r="26" ht="24" hidden="0" customHeight="1">
      <x:c r="A26" s="3" t="str">
        <x:v>Kibo UI</x:v>
      </x:c>
      <x:c r="B26" s="3" t="str">
        <x:v>reject_meaningful_maintenance_not_established</x:v>
      </x:c>
      <x:c r="C26" s="3" t="str">
        <x:v>MIT. Only in-window commit observed is 2026-05-04 badge replacement; prior Blocks work is 2026-03-09 and latest release 2025-10-29. A badge/docs marketing edit does not establish meaningful UI maintenance.</x:v>
      </x:c>
      <x:c r="D26" s="3" t="str">
        <x:v>https://github.com/shadcnblocks/kibo; https://github.com/shadcnblocks/kibo</x:v>
      </x:c>
    </x:row>
    <x:row r="27" ht="24" hidden="0" customHeight="1">
      <x:c r="A27" s="3" t="str">
        <x:v>MediaBunny</x:v>
      </x:c>
      <x:c r="B27" s="3" t="str">
        <x:v>exclude_from_permissive_allowlist_flag_weak_copyleft</x:v>
      </x:c>
      <x:c r="C27" s="3" t="str">
        <x:v>Primary metadata identifies MPL-2.0, with current v1.61.6 Oct16. Useful capable media primitive, but not permissive. Existing OpenReel dependency note must include MediaBunny's file-level copyleft as well as FFmpeg codec licences.</x:v>
      </x:c>
      <x:c r="D27" s="3" t="str">
        <x:v>https://www.reddit.com/r/webdev/comments/1m2ivfg/i_built_mediabunny_a_zerodependency_typescript/; https://github.com/Vanilagy/mediabunny</x:v>
      </x:c>
    </x:row>
    <x:row r="28" ht="15" hidden="0" customHeight="1">
      <x:c r="A28" s="3" t="str">
        <x:v>WebAV</x:v>
      </x:c>
      <x:c r="B28" s="3" t="str">
        <x:v>exclude_current_activity_gate</x:v>
      </x:c>
      <x:c r="C28" s="3" t="str">
        <x:v>MIT but latest default-branch release/commit is 2026-01-10, before cutoff; third-party search-index freshness is not maintenance proof.</x:v>
      </x:c>
      <x:c r="D28" s="3" t="str">
        <x:v>https://fenghen.me/posts/2024/10/31/webav-v1-released-en/; https://github.com/WebAV-Tech/WebAV</x:v>
      </x:c>
    </x:row>
    <x:row r="29" ht="24" hidden="0" customHeight="1">
      <x:c r="A29" s="3" t="str">
        <x:v>Theatre.js</x:v>
      </x:c>
      <x:c r="B29" s="3" t="str">
        <x:v>exclude_current_activity_gate</x:v>
      </x:c>
      <x:c r="C29" s="3" t="str">
        <x:v>Repository metadata Apache-2.0, but latest default-branch commit observed Apr2024 and pushed Aug2024. Exclude for maintenance, not an assumed source-available licence.</x:v>
      </x:c>
      <x:c r="D29" s="3" t="str">
        <x:v>https://github.com/theatre-js/theatre; https://github.com/theatre-js/theatre</x:v>
      </x:c>
    </x:row>
    <x:row r="30" ht="24" hidden="0" customHeight="1">
      <x:c r="A30" s="3" t="str">
        <x:v>Tambo</x:v>
      </x:c>
      <x:c r="B30" s="3" t="str">
        <x:v>reject_new_core_adoption_watch</x:v>
      </x:c>
      <x:c r="C30" s="3" t="str">
        <x:v>Fresh primary notice overrides popular launch coverage: new signups closed, hosted API ends31Oct2026, user data deleted30Nov; team pivot. Self-hostable MIT/Apache code remains but continuing support risk is material.</x:v>
      </x:c>
      <x:c r="D30" s="3" t="str">
        <x:v>https://www.producthunt.com/products/tambo; https://github.com/tambo-ai/tambo/blob/main/README.md</x:v>
      </x:c>
    </x:row>
    <x:row r="31" ht="15" hidden="0" customHeight="1">
      <x:c r="A31" s="3" t="str">
        <x:v>Lottie Web</x:v>
      </x:c>
      <x:c r="B31" s="3" t="str">
        <x:v>reject_maintenance</x:v>
      </x:c>
      <x:c r="C31" s="3" t="str">
        <x:v>MIT but latest observed code commit19Nov2024; fails six-month criterion despite32k stars. Lottie asset marketplaces/authoring licences are separate.</x:v>
      </x:c>
      <x:c r="D31" s="3" t="str">
        <x:v>https://github.com/airbnb/lottie-web; https://api.github.com/repos/airbnb/lottie-web/commits?per_page=1</x:v>
      </x:c>
    </x:row>
  </x:sheetData>
  <x:pageMargins left="0.7" right="0.7" top="0.75" bottom="0.75" header="0.3" footer="0.3"/>
  <x:tableParts count="1">
    <x:tablePart xmlns:r="http://schemas.openxmlformats.org/officeDocument/2006/relationships" r:id="R6cdbf8114717490b"/>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0" hidden="0" customWidth="1"/>
    <x:col min="2" max="2" width="65" hidden="0" customWidth="1"/>
    <x:col min="3" max="3" width="100" hidden="0" customWidth="1"/>
    <x:col min="4" max="4" width="95" hidden="0" customWidth="1"/>
    <x:col min="5" max="5" width="20" hidden="0" customWidth="1"/>
  </x:cols>
  <x:sheetData>
    <x:row r="1" ht="34" hidden="0" customHeight="1">
      <x:c r="A1" s="7" t="str">
        <x:v>Name</x:v>
      </x:c>
      <x:c r="B1" s="7" t="str">
        <x:v>URL</x:v>
      </x:c>
      <x:c r="C1" s="7" t="str">
        <x:v>Best screen or moment</x:v>
      </x:c>
      <x:c r="D1" s="7" t="str">
        <x:v>Access and reuse</x:v>
      </x:c>
      <x:c r="E1" s="7" t="str">
        <x:v>Recommendation</x:v>
      </x:c>
    </x:row>
    <x:row r="2" ht="15" hidden="0" customHeight="1">
      <x:c r="A2" s="3" t="str">
        <x:v>Siteinspire</x:v>
      </x:c>
      <x:c r="B2" s="3" t="str">
        <x:v>https://www.siteinspire.com/</x:v>
      </x:c>
      <x:c r="C2" s="3" t="str">
        <x:v>Gallery Styles and Types filters; compare typographic and grid-layout examples.</x:v>
      </x:c>
      <x:c r="D2" s="3" t="str">
        <x:v>Public gallery. Reference imagery and destination sites are not licensed as reusable code.</x:v>
      </x:c>
      <x:c r="E2" s="3" t="str">
        <x:v>situational</x:v>
      </x:c>
    </x:row>
    <x:row r="3" ht="15" hidden="0" customHeight="1">
      <x:c r="A3" s="8" t="str">
        <x:v>Landbook</x:v>
      </x:c>
      <x:c r="B3" s="8" t="str">
        <x:v>https://land-book.com/</x:v>
      </x:c>
      <x:c r="C3" s="8" t="str">
        <x:v>Sections and Motion views; narrow by SaaS, software, big type and colour style.</x:v>
      </x:c>
      <x:c r="D3" s="8" t="str">
        <x:v>Free Basic tier is limited. Pro-only search, archive and screenshot downloads are not required here. Original content rights remain.</x:v>
      </x:c>
      <x:c r="E3" s="8" t="str">
        <x:v>situational</x:v>
      </x:c>
    </x:row>
    <x:row r="4" ht="15" hidden="0" customHeight="1">
      <x:c r="A4" s="3" t="str">
        <x:v>Recent</x:v>
      </x:c>
      <x:c r="B4" s="3" t="str">
        <x:v>https://recent.design/</x:v>
      </x:c>
      <x:c r="C4" s="3" t="str">
        <x:v>Interface and Motion filters, App Screenshots and Launch Videos views.</x:v>
      </x:c>
      <x:c r="D4" s="3" t="str">
        <x:v>Public browsing. Curated imagery is reference material; no permissive implementation licence assumed.</x:v>
      </x:c>
      <x:c r="E4" s="3" t="str">
        <x:v>situational</x:v>
      </x:c>
    </x:row>
    <x:row r="5" ht="15" hidden="0" customHeight="1">
      <x:c r="A5" s="8" t="str">
        <x:v>Geist design system</x:v>
      </x:c>
      <x:c r="B5" s="8" t="str">
        <x:v>https://vercel.com/geist/introduction</x:v>
      </x:c>
      <x:c r="C5" s="8" t="str">
        <x:v>Materials levels, command menu, destructive-action modal, empty state and status dots.</x:v>
      </x:c>
      <x:c r="D5" s="8" t="str">
        <x:v>Public system documentation. Verify licence per implementation package; documentation access does not license the entire Vercel UI.</x:v>
      </x:c>
      <x:c r="E5" s="8" t="str">
        <x:v>core</x:v>
      </x:c>
    </x:row>
    <x:row r="6" ht="15" hidden="0" customHeight="1">
      <x:c r="A6" s="3" t="str">
        <x:v>Adobe Spectrum</x:v>
      </x:c>
      <x:c r="B6" s="3" t="str">
        <x:v>https://spectrum.adobe.com/page/home/</x:v>
      </x:c>
      <x:c r="C6" s="3" t="str">
        <x:v>Foundations and live component playgrounds; compare density, states, keyboard behaviour and accessibility guidance.</x:v>
      </x:c>
      <x:c r="D6" s="3" t="str">
        <x:v>Public guidance. React Aria/React Spectrum package licences are separate from brand and illustration assets.</x:v>
      </x:c>
      <x:c r="E6" s="3" t="str">
        <x:v>core</x:v>
      </x:c>
    </x:row>
    <x:row r="7" ht="15" hidden="0" customHeight="1">
      <x:c r="A7" s="8" t="str">
        <x:v>GitHub Primer</x:v>
      </x:c>
      <x:c r="B7" s="8" t="str">
        <x:v>https://primer.style/</x:v>
      </x:c>
      <x:c r="C7" s="8" t="str">
        <x:v>Product UI, shared primitives and accessibility foundations; study explicit tokens and dense workbench patterns.</x:v>
      </x:c>
      <x:c r="D7" s="8" t="str">
        <x:v>Public design system. Follow the licence of each code/font/icon package and preserve GitHub brand restrictions.</x:v>
      </x:c>
      <x:c r="E7" s="8" t="str">
        <x:v>core</x:v>
      </x:c>
    </x:row>
  </x:sheetData>
  <x:pageMargins left="0.7" right="0.7" top="0.75" bottom="0.75" header="0.3" footer="0.3"/>
  <x:tableParts count="1">
    <x:tablePart xmlns:r="http://schemas.openxmlformats.org/officeDocument/2006/relationships" r:id="Rbcd60d42e94e4b09"/>
  </x:tableParts>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135" hidden="0" customWidth="1"/>
  </x:cols>
  <x:sheetData>
    <x:row r="1" ht="38" hidden="0" customHeight="1">
      <x:c r="A1" s="20" t="str">
        <x:v>Field or rule</x:v>
      </x:c>
      <x:c r="B1" s="20" t="str">
        <x:v>Definition</x:v>
      </x:c>
    </x:row>
    <x:row r="2" ht="15" hidden="0" customHeight="1">
      <x:c r="A2" s="3" t="str">
        <x:v>Research date</x:v>
      </x:c>
      <x:c r="B2" s="3" t="str">
        <x:v>Second pass and scoring: 18 October 2026. Current maintenance window: 18 April-18 October 2026. Original repository snapshots remain dated 17 October.</x:v>
      </x:c>
    </x:row>
    <x:row r="3" ht="15" hidden="0" customHeight="1">
      <x:c r="A3" s="8" t="str">
        <x:v>Scope</x:v>
      </x:c>
      <x:c r="B3" s="8" t="str">
        <x:v>62 curated tools, including 12 second-pass additions; 40 category guides and ten scenario recipes.</x:v>
      </x:c>
    </x:row>
    <x:row r="4" ht="24" hidden="0" customHeight="1">
      <x:c r="A4" s="3" t="str">
        <x:v>Maintenance gate</x:v>
      </x:c>
      <x:c r="B4" s="3" t="str">
        <x:v>Pass requires a qualifying release or meaningful code/docs commit in the window. Repository pushed_at, star changes, dependency bots and deprecation-only notices are not sufficient alone. Dated release/commit evidence is recorded per row.</x:v>
      </x:c>
    </x:row>
    <x:row r="5" ht="24" hidden="0" customHeight="1">
      <x:c r="A5" s="8" t="str">
        <x:v>Licences</x:v>
      </x:c>
      <x:c r="B5" s="8" t="str">
        <x:v>Permissive classification applies to the named core package or application source. OpenReel MIT source does not cover its FFmpeg codec dependencies. Mixed monorepos, paid extensions, fonts, assets and tiles can also have different terms. See each row and the exclusion register.</x:v>
      </x:c>
    </x:row>
    <x:row r="6" ht="15" hidden="0" customHeight="1">
      <x:c r="A6" s="3" t="str">
        <x:v>Recommendation</x:v>
      </x:c>
      <x:c r="B6" s="3" t="str">
        <x:v>core = preferred reusable default for its stated job; situational = strong specialist; watch = promising or changing, with a named limitation. Recommendation is editorial and scoped to best_at.</x:v>
      </x:c>
    </x:row>
    <x:row r="7" ht="24" hidden="0" customHeight="1">
      <x:c r="A7" s="8" t="str">
        <x:v>Visual quality</x:v>
      </x:c>
      <x:c r="B7" s="8" t="str">
        <x:v>1 dated; 2 functional; 3 needs substantial styling or is nonvisual infrastructure; 4 polished and adaptable; 5 distinctive premium output. Score describes linked output potential, not native styling for headless/token/sync tools.</x:v>
      </x:c>
    </x:row>
    <x:row r="8" ht="24" hidden="0" customHeight="1">
      <x:c r="A8" s="3" t="str">
        <x:v>Visual verification</x:v>
      </x:c>
      <x:c r="B8" s="3" t="str">
        <x:v>Primary official docs and demos were reviewed. Selected demos were visually inspected live, as recorded in each visual basis. Some media demos had unavailable sample assets. References identify moments worth capturing; they are not a completed interaction benchmark.</x:v>
      </x:c>
    </x:row>
    <x:row r="9" ht="15" hidden="0" customHeight="1">
      <x:c r="A9" s="8" t="str">
        <x:v>Performance evidence</x:v>
      </x:c>
      <x:c r="B9" s="8" t="str">
        <x:v>Qualitative architecture and vendor demo claims only unless a row explicitly says otherwise. No new same-task benchmark, bundle measurement, accessibility certification or frame-rate test was run.</x:v>
      </x:c>
    </x:row>
    <x:row r="10" ht="15" hidden="0" customHeight="1">
      <x:c r="A10" s="3" t="str">
        <x:v>Existing handbook scores</x:v>
      </x:c>
      <x:c r="B10" s="3" t="str">
        <x:v>The handbook and existing SOURCES.md benchmarks informed fit. Their eight-criterion /10 scores were not rerun or replaced; this catalogue uses a separate editorial /5 visual field.</x:v>
      </x:c>
    </x:row>
    <x:row r="11" ht="15" hidden="0" customHeight="1">
      <x:c r="A11" s="8" t="str">
        <x:v>Scenario tags</x:v>
      </x:c>
      <x:c r="B11" s="8" t="str">
        <x:v>Foundations can support all ten scenarios. Tags indicate useful fit, not turnkey support for the complete scenario. Scenario recipes identify a practical starting combination.</x:v>
      </x:c>
    </x:row>
    <x:row r="12" ht="15" hidden="0" customHeight="1">
      <x:c r="A12" s="3" t="str">
        <x:v>Category joins</x:v>
      </x:c>
      <x:c r="B12" s="3" t="str">
        <x:v>Canonical A1-F3 IDs are many-to-many with resources. references.csv stores one specific screen/moment per category reference; commercial products are inspiration only.</x:v>
      </x:c>
    </x:row>
    <x:row r="13" ht="15" hidden="0" customHeight="1">
      <x:c r="A13" s="8" t="str">
        <x:v>CSV representation</x:v>
      </x:c>
      <x:c r="B13" s="8" t="str">
        <x:v>UTF-8 CSV. Multi-value tag fields use semicolons for spreadsheet readability. JSON preserves arrays. Normalised join CSVs are supplied for database import.</x:v>
      </x:c>
    </x:row>
    <x:row r="14" ht="15" hidden="0" customHeight="1">
      <x:c r="A14" s="3" t="str">
        <x:v>Nulls</x:v>
      </x:c>
      <x:c r="B14" s="3" t="str">
        <x:v>Blank CSV and null JSON values mean unavailable or not applicable, never zero stars or a verified date. Unknown release dates can coexist with a verified meaningful commit.</x:v>
      </x:c>
    </x:row>
    <x:row r="15" ht="15" hidden="0" customHeight="1">
      <x:c r="A15" s="8" t="str">
        <x:v>Stars</x:v>
      </x:c>
      <x:c r="B15" s="8" t="str">
        <x:v>Approximate GitHub stars are a dated adoption signal, not quality or maintenance proof. Monorepo stars do not equal package-specific adoption.</x:v>
      </x:c>
    </x:row>
    <x:row r="16" ht="24" hidden="0" customHeight="1">
      <x:c r="A16" s="3" t="str">
        <x:v>Starter sources</x:v>
      </x:c>
      <x:c r="B16" s="3" t="str">
        <x:v>Read supplied UX Library Handbook.html and repository research/categories.md and SOURCES.md. The attachment was treated as context; no repository commit, publication, installation or library ingestion was performed.</x:v>
      </x:c>
    </x:row>
    <x:row r="17" ht="15" hidden="0" customHeight="1">
      <x:c r="A17" s="8" t="str">
        <x:v>Reference rights</x:v>
      </x:c>
      <x:c r="B17" s="8" t="str">
        <x:v>Public pages and paid-product demonstrations are references to study. They are not permissively licensed implementation code unless explicitly stated.</x:v>
      </x:c>
    </x:row>
    <x:row r="18" ht="24" hidden="0" customHeight="1">
      <x:c r="A18" s="3" t="str">
        <x:v>Second discovery pass</x:v>
      </x:c>
      <x:c r="B18" s="3" t="str">
        <x:v>18 October 2026. Social posts, specialist blogs, showcase directories and popular repositories supplied leads. Primary licence/maintenance/docs checks determined inclusion. Older discovery posts are labelled as trails, not proof of current maintenance.</x:v>
      </x:c>
    </x:row>
    <x:row r="19" ht="24" hidden="0" customHeight="1">
      <x:c r="A19" s="3" t="str">
        <x:v>Decision score</x:v>
      </x:c>
      <x:c r="B19" s="3" t="str">
        <x:v>Eight editorial dimensions use 1-5 anchors. Null means not applicable and is excluded from the weighted denominator. Use the chooser role/scenario controls and profile weights; no global cross-role winner is implied.</x:v>
      </x:c>
    </x:row>
    <x:row r="20" ht="15" hidden="0" customHeight="1">
      <x:c r="A20" s="3" t="str">
        <x:v>Scenario fit</x:v>
      </x:c>
      <x:c r="B20" s="3" t="str">
        <x:v>0 outside scope; 1 enabling foundation/adjacent; 2 supporting; 3 direct specialist. Fit describes the stated job and is separate from quality.</x:v>
      </x:c>
    </x:row>
    <x:row r="21" ht="15" hidden="0" customHeight="1">
      <x:c r="A21" s="3" t="str">
        <x:v>Watch and scope review</x:v>
      </x:c>
      <x:c r="B21" s="3" t="str">
        <x:v>Watch entries are excluded from default chooser ranking. OpenReel also needs dependency scope review (MediaBunny MPL and FFmpeg); allowing Watch does not resolve licence review.</x:v>
      </x:c>
    </x:row>
    <x:row r="22" ht="15" hidden="0" customHeight="1">
      <x:c r="A22" s="3" t="str">
        <x:v>Evidence dates</x:v>
      </x:c>
      <x:c r="B22" s="3" t="str">
        <x:v>Original 17 October snapshots are preserved in resource fields. New scoring/discovery review is dated 18 October. Performance scores remain architectural judgements, not new measured results.</x:v>
      </x:c>
    </x:row>
  </x:sheetData>
  <x:pageMargins left="0.7" right="0.7" top="0.75" bottom="0.75" header="0.3" footer="0.3"/>
  <x:tableParts count="1">
    <x:tablePart xmlns:r="http://schemas.openxmlformats.org/officeDocument/2006/relationships" r:id="R59eb16585489425f"/>
  </x:tableParts>
</x:worksheet>
</file>

<file path=xl/worksheets/sheet9.xml><?xml version="1.0" encoding="utf-8"?>
<x:worksheet xmlns:x="http://schemas.openxmlformats.org/spreadsheetml/2006/main">
  <x:sheetPr>
    <x:tabColor rgb="FF17334D"/>
  </x:sheetPr>
  <x:sheetViews>
    <x:sheetView showGridLines="0" workbookViewId="0"/>
  </x:sheetViews>
  <x:sheetFormatPr defaultRowHeight="15"/>
  <x:cols>
    <x:col min="1" max="1" width="26" hidden="0" customWidth="1"/>
    <x:col min="2" max="2" width="2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1" max="11" width="31" hidden="0" customWidth="1"/>
    <x:col min="13" max="13" width="30" hidden="0" customWidth="1"/>
    <x:col min="10" max="10" width="14" hidden="0" customWidth="1"/>
  </x:cols>
  <x:sheetData>
    <x:row r="1">
      <x:c r="A1" s="26" t="str">
        <x:v>Choose a resource</x:v>
      </x:c>
      <x:c r="B1" s="1"/>
      <x:c r="C1" s="1"/>
      <x:c r="D1" s="1"/>
      <x:c r="E1" s="1"/>
      <x:c r="F1" s="1"/>
      <x:c r="G1" s="1"/>
      <x:c r="H1" s="1"/>
      <x:c r="I1" s="1"/>
    </x:row>
    <x:row r="2">
      <x:c r="A2" s="1"/>
      <x:c r="B2" s="1"/>
      <x:c r="C2" s="1"/>
      <x:c r="D2" s="1"/>
      <x:c r="E2" s="1"/>
      <x:c r="F2" s="1"/>
      <x:c r="G2" s="1"/>
      <x:c r="H2" s="1"/>
      <x:c r="I2" s="1"/>
    </x:row>
    <x:row r="3">
      <x:c r="A3" s="1" t="str">
        <x:v>Scenario</x:v>
      </x:c>
      <x:c r="B3" s="29" t="str">
        <x:v>KPI dashboards</x:v>
      </x:c>
      <x:c r="C3" s="1"/>
      <x:c r="D3" s="1"/>
      <x:c r="E3" s="1"/>
      <x:c r="F3" s="1"/>
      <x:c r="G3" s="1"/>
      <x:c r="H3" s="1"/>
      <x:c r="I3" s="1"/>
    </x:row>
    <x:row r="4">
      <x:c r="A4" s="1" t="str">
        <x:v>Role</x:v>
      </x:c>
      <x:c r="B4" s="29" t="str">
        <x:v>Chart renderer</x:v>
      </x:c>
      <x:c r="C4" s="1"/>
      <x:c r="D4" s="1"/>
      <x:c r="E4" s="1"/>
      <x:c r="F4" s="1"/>
      <x:c r="G4" s="1"/>
      <x:c r="H4" s="1"/>
      <x:c r="I4" s="1"/>
    </x:row>
    <x:row r="5">
      <x:c r="A5" s="1" t="str">
        <x:v>Weight profile</x:v>
      </x:c>
      <x:c r="B5" s="29" t="str">
        <x:v>Balanced</x:v>
      </x:c>
      <x:c r="C5" s="1"/>
      <x:c r="D5" s="1"/>
      <x:c r="E5" s="1"/>
      <x:c r="F5" s="1"/>
      <x:c r="G5" s="1"/>
      <x:c r="H5" s="1"/>
      <x:c r="I5" s="1"/>
    </x:row>
    <x:row r="6">
      <x:c r="A6" s="1" t="str">
        <x:v>Include Watch?</x:v>
      </x:c>
      <x:c r="B6" s="29" t="str">
        <x:v>No</x:v>
      </x:c>
      <x:c r="C6" s="1"/>
      <x:c r="D6" s="1"/>
      <x:c r="E6" s="1"/>
      <x:c r="F6" s="1"/>
      <x:c r="G6" s="1"/>
      <x:c r="H6" s="1"/>
      <x:c r="I6" s="1"/>
    </x:row>
    <x:row r="7">
      <x:c r="A7" s="1"/>
      <x:c r="B7" s="1"/>
      <x:c r="C7" s="1"/>
      <x:c r="D7" s="1"/>
      <x:c r="E7" s="1"/>
      <x:c r="F7" s="1"/>
      <x:c r="G7" s="1"/>
      <x:c r="H7" s="1"/>
      <x:c r="I7" s="1"/>
    </x:row>
    <x:row r="8" ht="35" customHeight="1">
      <x:c r="A8" s="14" t="str">
        <x:v>Use Decision matrix: filter Status to candidate, then sort Role rank. Ranks compare tools within the same role; scenario fit is considered before score.</x:v>
      </x:c>
      <x:c r="B8" s="14" t="str">
        <x:v>Use Decision matrix: filter Status to candidate, then sort Role rank. Ranks compare tools within the same role; scenario fit is considered before score.</x:v>
      </x:c>
      <x:c r="C8" s="14" t="str">
        <x:v>Use Decision matrix: filter Status to candidate, then sort Role rank. Ranks compare tools within the same role; scenario fit is considered before score.</x:v>
      </x:c>
      <x:c r="D8" s="14" t="str">
        <x:v>Use Decision matrix: filter Status to candidate, then sort Role rank. Ranks compare tools within the same role; scenario fit is considered before score.</x:v>
      </x:c>
      <x:c r="E8" s="14" t="str">
        <x:v>Use Decision matrix: filter Status to candidate, then sort Role rank. Ranks compare tools within the same role; scenario fit is considered before score.</x:v>
      </x:c>
      <x:c r="F8" s="14" t="str">
        <x:v>Use Decision matrix: filter Status to candidate, then sort Role rank. Ranks compare tools within the same role; scenario fit is considered before score.</x:v>
      </x:c>
      <x:c r="G8" s="14" t="str">
        <x:v>Use Decision matrix: filter Status to candidate, then sort Role rank. Ranks compare tools within the same role; scenario fit is considered before score.</x:v>
      </x:c>
      <x:c r="H8" s="14" t="str">
        <x:v>Use Decision matrix: filter Status to candidate, then sort Role rank. Ranks compare tools within the same role; scenario fit is considered before score.</x:v>
      </x:c>
      <x:c r="I8" s="14" t="str">
        <x:v>Use Decision matrix: filter Status to candidate, then sort Role rank. Ranks compare tools within the same role; scenario fit is considered before score.</x:v>
      </x:c>
    </x:row>
    <x:row r="9">
      <x:c r="A9" s="1"/>
      <x:c r="B9" s="1"/>
      <x:c r="C9" s="1"/>
      <x:c r="D9" s="1"/>
      <x:c r="E9" s="1"/>
      <x:c r="F9" s="1"/>
      <x:c r="G9" s="1"/>
      <x:c r="H9" s="1"/>
      <x:c r="I9" s="1"/>
    </x:row>
    <x:row r="10" ht="32" customHeight="1">
      <x:c r="A10" s="28" t="str">
        <x:v>Active weights</x:v>
      </x:c>
      <x:c r="B10" s="28" t="str">
        <x:v>Visual</x:v>
      </x:c>
      <x:c r="C10" s="28" t="str">
        <x:v>Interaction</x:v>
      </x:c>
      <x:c r="D10" s="28" t="str">
        <x:v>Accessibility</x:v>
      </x:c>
      <x:c r="E10" s="28" t="str">
        <x:v>Scale architecture</x:v>
      </x:c>
      <x:c r="F10" s="28" t="str">
        <x:v>React / Next</x:v>
      </x:c>
      <x:c r="G10" s="28" t="str">
        <x:v>Docs / examples</x:v>
      </x:c>
      <x:c r="H10" s="28" t="str">
        <x:v>Project health</x:v>
      </x:c>
      <x:c r="I10" s="28" t="str">
        <x:v>Ease of adoption</x:v>
      </x:c>
      <x:c r="J10" s="24" t="str">
        <x:v>Weight total</x:v>
      </x:c>
    </x:row>
    <x:row r="11">
      <x:c r="A11" s="14" t="str">
        <x:v>Selected profile</x:v>
      </x:c>
      <x:c r="B11" s="30" t="n">
        <x:f>INDEX($B$17:$I$21,MATCH($B$5,$A$17:$A$21,0),1)</x:f>
        <x:v>20</x:v>
      </x:c>
      <x:c r="C11" s="30" t="n">
        <x:f>INDEX($B$17:$I$21,MATCH($B$5,$A$17:$A$21,0),2)</x:f>
        <x:v>15</x:v>
      </x:c>
      <x:c r="D11" s="30" t="n">
        <x:f>INDEX($B$17:$I$21,MATCH($B$5,$A$17:$A$21,0),3)</x:f>
        <x:v>15</x:v>
      </x:c>
      <x:c r="E11" s="30" t="n">
        <x:f>INDEX($B$17:$I$21,MATCH($B$5,$A$17:$A$21,0),4)</x:f>
        <x:v>15</x:v>
      </x:c>
      <x:c r="F11" s="30" t="n">
        <x:f>INDEX($B$17:$I$21,MATCH($B$5,$A$17:$A$21,0),5)</x:f>
        <x:v>15</x:v>
      </x:c>
      <x:c r="G11" s="30" t="n">
        <x:f>INDEX($B$17:$I$21,MATCH($B$5,$A$17:$A$21,0),6)</x:f>
        <x:v>10</x:v>
      </x:c>
      <x:c r="H11" s="30" t="n">
        <x:f>INDEX($B$17:$I$21,MATCH($B$5,$A$17:$A$21,0),7)</x:f>
        <x:v>5</x:v>
      </x:c>
      <x:c r="I11" s="30" t="n">
        <x:f>INDEX($B$17:$I$21,MATCH($B$5,$A$17:$A$21,0),8)</x:f>
        <x:v>5</x:v>
      </x:c>
      <x:c r="J11" s="24" t="n">
        <x:f>SUM(B11:I11)</x:f>
        <x:v>100</x:v>
      </x:c>
    </x:row>
    <x:row r="12">
      <x:c r="A12" s="1"/>
      <x:c r="B12" s="1"/>
      <x:c r="C12" s="1"/>
      <x:c r="D12" s="1"/>
      <x:c r="E12" s="1"/>
      <x:c r="F12" s="1"/>
      <x:c r="G12" s="1"/>
      <x:c r="H12" s="1"/>
      <x:c r="I12" s="1"/>
    </x:row>
    <x:row r="13" ht="35" customHeight="1">
      <x:c r="A13" s="14" t="str">
        <x:v>Scores: 1 weak, 3 adequate, 5 strong for the role. Blank means N/A and its weight is removed. These are editorial assessments, not benchmark results.</x:v>
      </x:c>
      <x:c r="B13" s="14"/>
      <x:c r="C13" s="14"/>
      <x:c r="D13" s="14"/>
      <x:c r="E13" s="14"/>
      <x:c r="F13" s="14"/>
      <x:c r="G13" s="14"/>
      <x:c r="H13" s="14"/>
      <x:c r="I13" s="14"/>
    </x:row>
    <x:row r="14">
      <x:c r="A14" s="1"/>
      <x:c r="B14" s="1"/>
      <x:c r="C14" s="1"/>
      <x:c r="D14" s="1"/>
      <x:c r="E14" s="1"/>
      <x:c r="F14" s="1"/>
      <x:c r="G14" s="1"/>
      <x:c r="H14" s="1"/>
      <x:c r="I14" s="1"/>
    </x:row>
    <x:row r="15">
      <x:c r="A15" s="1"/>
      <x:c r="B15" s="1"/>
      <x:c r="C15" s="1"/>
      <x:c r="D15" s="1"/>
      <x:c r="E15" s="1"/>
      <x:c r="F15" s="1"/>
      <x:c r="G15" s="1"/>
      <x:c r="H15" s="1"/>
      <x:c r="I15" s="1"/>
    </x:row>
    <x:row r="16" ht="32" customHeight="1">
      <x:c r="A16" s="28" t="str">
        <x:v>Profile</x:v>
      </x:c>
      <x:c r="B16" s="28" t="str">
        <x:v>Visual</x:v>
      </x:c>
      <x:c r="C16" s="28" t="str">
        <x:v>Interaction</x:v>
      </x:c>
      <x:c r="D16" s="28" t="str">
        <x:v>Accessibility</x:v>
      </x:c>
      <x:c r="E16" s="28" t="str">
        <x:v>Scale architecture</x:v>
      </x:c>
      <x:c r="F16" s="28" t="str">
        <x:v>React / Next</x:v>
      </x:c>
      <x:c r="G16" s="28" t="str">
        <x:v>Docs / examples</x:v>
      </x:c>
      <x:c r="H16" s="28" t="str">
        <x:v>Project health</x:v>
      </x:c>
      <x:c r="I16" s="28" t="str">
        <x:v>Ease of adoption</x:v>
      </x:c>
      <x:c r="K16" t="str">
        <x:v>Role choices</x:v>
      </x:c>
      <x:c r="M16" t="str">
        <x:v>Scenario choices</x:v>
      </x:c>
    </x:row>
    <x:row r="17">
      <x:c r="A17" s="1" t="str">
        <x:v>Balanced</x:v>
      </x:c>
      <x:c r="B17" s="31" t="n">
        <x:v>20</x:v>
      </x:c>
      <x:c r="C17" s="31" t="n">
        <x:v>15</x:v>
      </x:c>
      <x:c r="D17" s="31" t="n">
        <x:v>15</x:v>
      </x:c>
      <x:c r="E17" s="31" t="n">
        <x:v>15</x:v>
      </x:c>
      <x:c r="F17" s="31" t="n">
        <x:v>15</x:v>
      </x:c>
      <x:c r="G17" s="31" t="n">
        <x:v>10</x:v>
      </x:c>
      <x:c r="H17" s="31" t="n">
        <x:v>5</x:v>
      </x:c>
      <x:c r="I17" s="31" t="n">
        <x:v>5</x:v>
      </x:c>
      <x:c r="K17" t="str">
        <x:v>All</x:v>
      </x:c>
      <x:c r="M17" t="str">
        <x:v>Simple charts</x:v>
      </x:c>
    </x:row>
    <x:row r="18">
      <x:c r="A18" s="1" t="str">
        <x:v>Dense desktop data</x:v>
      </x:c>
      <x:c r="B18" s="31" t="n">
        <x:v>10</x:v>
      </x:c>
      <x:c r="C18" s="31" t="n">
        <x:v>15</x:v>
      </x:c>
      <x:c r="D18" s="31" t="n">
        <x:v>10</x:v>
      </x:c>
      <x:c r="E18" s="31" t="n">
        <x:v>30</x:v>
      </x:c>
      <x:c r="F18" s="31" t="n">
        <x:v>15</x:v>
      </x:c>
      <x:c r="G18" s="31" t="n">
        <x:v>10</x:v>
      </x:c>
      <x:c r="H18" s="31" t="n">
        <x:v>5</x:v>
      </x:c>
      <x:c r="I18" s="31" t="n">
        <x:v>5</x:v>
      </x:c>
      <x:c r="K18" t="str">
        <x:v>2D canvas engine</x:v>
      </x:c>
      <x:c r="M18" t="str">
        <x:v>KPI dashboards</x:v>
      </x:c>
    </x:row>
    <x:row r="19">
      <x:c r="A19" s="1" t="str">
        <x:v>Accessible product</x:v>
      </x:c>
      <x:c r="B19" s="31" t="n">
        <x:v>15</x:v>
      </x:c>
      <x:c r="C19" s="31" t="n">
        <x:v>10</x:v>
      </x:c>
      <x:c r="D19" s="31" t="n">
        <x:v>30</x:v>
      </x:c>
      <x:c r="E19" s="31" t="n">
        <x:v>10</x:v>
      </x:c>
      <x:c r="F19" s="31" t="n">
        <x:v>15</x:v>
      </x:c>
      <x:c r="G19" s="31" t="n">
        <x:v>10</x:v>
      </x:c>
      <x:c r="H19" s="31" t="n">
        <x:v>5</x:v>
      </x:c>
      <x:c r="I19" s="31" t="n">
        <x:v>5</x:v>
      </x:c>
      <x:c r="K19" t="str">
        <x:v>3D product viewer</x:v>
      </x:c>
      <x:c r="M19" t="str">
        <x:v>Real-time trading charts</x:v>
      </x:c>
    </x:row>
    <x:row r="20">
      <x:c r="A20" s="1" t="str">
        <x:v>Visual prototype</x:v>
      </x:c>
      <x:c r="B20" s="31" t="n">
        <x:v>35</x:v>
      </x:c>
      <x:c r="C20" s="31" t="n">
        <x:v>20</x:v>
      </x:c>
      <x:c r="D20" s="31" t="n">
        <x:v>10</x:v>
      </x:c>
      <x:c r="E20" s="31" t="n">
        <x:v>5</x:v>
      </x:c>
      <x:c r="F20" s="31" t="n">
        <x:v>15</x:v>
      </x:c>
      <x:c r="G20" s="31" t="n">
        <x:v>5</x:v>
      </x:c>
      <x:c r="H20" s="31" t="n">
        <x:v>5</x:v>
      </x:c>
      <x:c r="I20" s="31" t="n">
        <x:v>5</x:v>
      </x:c>
      <x:c r="K20" t="str">
        <x:v>3D scene engine</x:v>
      </x:c>
      <x:c r="M20" t="str">
        <x:v>Live maps</x:v>
      </x:c>
    </x:row>
    <x:row r="21">
      <x:c r="A21" s="1" t="str">
        <x:v>Agent production</x:v>
      </x:c>
      <x:c r="B21" s="31" t="n">
        <x:v>10</x:v>
      </x:c>
      <x:c r="C21" s="31" t="n">
        <x:v>20</x:v>
      </x:c>
      <x:c r="D21" s="31" t="n">
        <x:v>15</x:v>
      </x:c>
      <x:c r="E21" s="31" t="n">
        <x:v>15</x:v>
      </x:c>
      <x:c r="F21" s="31" t="n">
        <x:v>15</x:v>
      </x:c>
      <x:c r="G21" s="31" t="n">
        <x:v>10</x:v>
      </x:c>
      <x:c r="H21" s="31" t="n">
        <x:v>10</x:v>
      </x:c>
      <x:c r="I21" s="31" t="n">
        <x:v>5</x:v>
      </x:c>
      <x:c r="K21" t="str">
        <x:v>Accessible primitives</x:v>
      </x:c>
      <x:c r="M21" t="str">
        <x:v>Landing pages</x:v>
      </x:c>
    </x:row>
    <x:row r="22">
      <x:c r="A22" s="1"/>
      <x:c r="B22" s="1"/>
      <x:c r="C22" s="1"/>
      <x:c r="D22" s="1"/>
      <x:c r="E22" s="1"/>
      <x:c r="F22" s="1"/>
      <x:c r="G22" s="1"/>
      <x:c r="H22" s="1"/>
      <x:c r="I22" s="1"/>
      <x:c r="K22" t="str">
        <x:v>Agent runtime</x:v>
      </x:c>
      <x:c r="M22" t="str">
        <x:v>3D product configurators</x:v>
      </x:c>
    </x:row>
    <x:row r="23" ht="32" customHeight="1">
      <x:c r="A23" s="14" t="str">
        <x:v>Workflow</x:v>
      </x:c>
      <x:c r="B23" s="14" t="str">
        <x:v>1. Select the job and layer. 2. Inspect fit/status/rank. 3. Read use/avoid and examples. 4. Verify scope and benchmark the intended workload.</x:v>
      </x:c>
      <x:c r="C23" s="14"/>
      <x:c r="D23" s="14"/>
      <x:c r="E23" s="14"/>
      <x:c r="F23" s="14"/>
      <x:c r="G23" s="14"/>
      <x:c r="H23" s="14"/>
      <x:c r="I23" s="14"/>
      <x:c r="K23" t="str">
        <x:v>Agent UI</x:v>
      </x:c>
      <x:c r="M23" t="str">
        <x:v>Multiplayer whiteboards</x:v>
      </x:c>
    </x:row>
    <x:row r="24" ht="32" customHeight="1">
      <x:c r="A24" s="14" t="str">
        <x:v>Gate</x:v>
      </x:c>
      <x:c r="B24" s="14" t="str">
        <x:v>Watch entries are excluded by default. Dependency scope review is always explicit; changing this selector does not approve a licence or production use.</x:v>
      </x:c>
      <x:c r="C24" s="14"/>
      <x:c r="D24" s="14"/>
      <x:c r="E24" s="14"/>
      <x:c r="F24" s="14"/>
      <x:c r="G24" s="14"/>
      <x:c r="H24" s="14"/>
      <x:c r="I24" s="14"/>
      <x:c r="K24" t="str">
        <x:v>Audio waveform</x:v>
      </x:c>
      <x:c r="M24" t="str">
        <x:v>Video editing timelines</x:v>
      </x:c>
    </x:row>
    <x:row r="25">
      <x:c r="A25" s="1"/>
      <x:c r="B25" s="1"/>
      <x:c r="C25" s="1"/>
      <x:c r="D25" s="1"/>
      <x:c r="E25" s="1"/>
      <x:c r="F25" s="1"/>
      <x:c r="G25" s="1"/>
      <x:c r="H25" s="1"/>
      <x:c r="I25" s="1"/>
      <x:c r="K25" t="str">
        <x:v>Authored animation runtime</x:v>
      </x:c>
      <x:c r="M25" t="str">
        <x:v>Network graphs</x:v>
      </x:c>
    </x:row>
    <x:row r="26">
      <x:c r="A26" s="1"/>
      <x:c r="B26" s="1"/>
      <x:c r="C26" s="1"/>
      <x:c r="D26" s="1"/>
      <x:c r="E26" s="1"/>
      <x:c r="F26" s="1"/>
      <x:c r="G26" s="1"/>
      <x:c r="H26" s="1"/>
      <x:c r="I26" s="1"/>
      <x:c r="K26" t="str">
        <x:v>Chart renderer</x:v>
      </x:c>
      <x:c r="M26" t="str">
        <x:v>AI agent interfaces</x:v>
      </x:c>
    </x:row>
    <x:row r="27">
      <x:c r="A27" s="1"/>
      <x:c r="B27" s="1"/>
      <x:c r="C27" s="1"/>
      <x:c r="D27" s="1"/>
      <x:c r="E27" s="1"/>
      <x:c r="F27" s="1"/>
      <x:c r="G27" s="1"/>
      <x:c r="H27" s="1"/>
      <x:c r="I27" s="1"/>
      <x:c r="K27" t="str">
        <x:v>Code review editor</x:v>
      </x:c>
    </x:row>
    <x:row r="28">
      <x:c r="A28" s="1"/>
      <x:c r="B28" s="1"/>
      <x:c r="C28" s="1"/>
      <x:c r="D28" s="1"/>
      <x:c r="E28" s="1"/>
      <x:c r="F28" s="1"/>
      <x:c r="G28" s="1"/>
      <x:c r="H28" s="1"/>
      <x:c r="I28" s="1"/>
      <x:c r="K28" t="str">
        <x:v>Collaboration sync</x:v>
      </x:c>
    </x:row>
    <x:row r="29">
      <x:c r="K29" t="str">
        <x:v>CSS foundation</x:v>
      </x:c>
    </x:row>
    <x:row r="30">
      <x:c r="K30" t="str">
        <x:v>Data table</x:v>
      </x:c>
    </x:row>
    <x:row r="31">
      <x:c r="K31" t="str">
        <x:v>Diagram editor</x:v>
      </x:c>
    </x:row>
    <x:row r="32">
      <x:c r="K32" t="str">
        <x:v>DOM motion</x:v>
      </x:c>
    </x:row>
    <x:row r="33">
      <x:c r="K33" t="str">
        <x:v>Filter builder</x:v>
      </x:c>
    </x:row>
    <x:row r="34">
      <x:c r="K34" t="str">
        <x:v>Font assets</x:v>
      </x:c>
    </x:row>
    <x:row r="35">
      <x:c r="K35" t="str">
        <x:v>Form state</x:v>
      </x:c>
    </x:row>
    <x:row r="36">
      <x:c r="K36" t="str">
        <x:v>Generative UI renderer</x:v>
      </x:c>
    </x:row>
    <x:row r="37">
      <x:c r="K37" t="str">
        <x:v>Geospatial explorer</x:v>
      </x:c>
    </x:row>
    <x:row r="38">
      <x:c r="K38" t="str">
        <x:v>Geospatial layers</x:v>
      </x:c>
    </x:row>
    <x:row r="39">
      <x:c r="K39" t="str">
        <x:v>Icon assets</x:v>
      </x:c>
    </x:row>
    <x:row r="40">
      <x:c r="K40" t="str">
        <x:v>Interaction pattern components</x:v>
      </x:c>
    </x:row>
    <x:row r="41">
      <x:c r="K41" t="str">
        <x:v>Map basemap</x:v>
      </x:c>
    </x:row>
    <x:row r="42">
      <x:c r="K42" t="str">
        <x:v>Marketing components</x:v>
      </x:c>
    </x:row>
    <x:row r="43">
      <x:c r="K43" t="str">
        <x:v>Media editor application</x:v>
      </x:c>
    </x:row>
    <x:row r="44">
      <x:c r="K44" t="str">
        <x:v>Network renderer</x:v>
      </x:c>
    </x:row>
    <x:row r="45">
      <x:c r="K45" t="str">
        <x:v>Notification inbox</x:v>
      </x:c>
    </x:row>
    <x:row r="46">
      <x:c r="K46" t="str">
        <x:v>Numeric motion</x:v>
      </x:c>
    </x:row>
    <x:row r="47">
      <x:c r="K47" t="str">
        <x:v>Onboarding tour</x:v>
      </x:c>
    </x:row>
    <x:row r="48">
      <x:c r="K48" t="str">
        <x:v>Rich text editor</x:v>
      </x:c>
    </x:row>
    <x:row r="49">
      <x:c r="K49" t="str">
        <x:v>Scheduling</x:v>
      </x:c>
    </x:row>
    <x:row r="50">
      <x:c r="K50" t="str">
        <x:v>Scroll enhancement</x:v>
      </x:c>
    </x:row>
    <x:row r="51">
      <x:c r="K51" t="str">
        <x:v>Server state</x:v>
      </x:c>
    </x:row>
    <x:row r="52">
      <x:c r="K52" t="str">
        <x:v>Streaming content</x:v>
      </x:c>
    </x:row>
    <x:row r="53">
      <x:c r="K53" t="str">
        <x:v>Styled component kit</x:v>
      </x:c>
    </x:row>
    <x:row r="54">
      <x:c r="K54" t="str">
        <x:v>Token pipeline</x:v>
      </x:c>
    </x:row>
    <x:row r="55">
      <x:c r="K55" t="str">
        <x:v>Transient feedback</x:v>
      </x:c>
    </x:row>
    <x:row r="56">
      <x:c r="K56" t="str">
        <x:v>URL state</x:v>
      </x:c>
    </x:row>
    <x:row r="57">
      <x:c r="K57" t="str">
        <x:v>Virtualisation</x:v>
      </x:c>
    </x:row>
    <x:row r="58">
      <x:c r="K58" t="str">
        <x:v>Whiteboard application</x:v>
      </x:c>
    </x:row>
    <x:row r="59">
      <x:c r="K59" t="str">
        <x:v>Workspace layout</x:v>
      </x:c>
    </x:row>
  </x:sheetData>
  <x:mergeCells>
    <x:mergeCell ref="A8:I8"/>
    <x:mergeCell ref="A13:I13"/>
    <x:mergeCell ref="B23:I23"/>
    <x:mergeCell ref="B24:I24"/>
  </x:mergeCells>
  <x:conditionalFormatting sqref="J11:J11">
    <x:cfRule type="cellIs" dxfId="0" priority="1" operator="equal">
      <x:formula>0</x:formula>
    </x:cfRule>
  </x:conditionalFormatting>
  <x:dataValidations count="5">
    <x:dataValidation type="list" sqref="B3">
      <x:formula1>$M$17:$M$26</x:formula1>
    </x:dataValidation>
    <x:dataValidation type="list" sqref="B4">
      <x:formula1>$K$17:$K$59</x:formula1>
    </x:dataValidation>
    <x:dataValidation type="list" sqref="B5">
      <x:formula1>$A$17:$A$21</x:formula1>
    </x:dataValidation>
    <x:dataValidation type="list" sqref="B6">
      <x:formula1>"No,Yes"</x:formula1>
    </x:dataValidation>
    <x:dataValidation type="whole" operator="between" sqref="B17:I21">
      <x:formula1>0</x:formula1>
      <x:formula2>100</x:formula2>
    </x:dataValidation>
  </x:dataValidations>
  <x:pageMargins left="0.7" right="0.7" top="0.75" bottom="0.75" header="0.3" footer="0.3"/>
</x:worksheet>
</file>

<file path=xl/worksheets/sheet10.xml><?xml version="1.0" encoding="utf-8"?>
<x:worksheet xmlns:x="http://schemas.openxmlformats.org/spreadsheetml/2006/main">
  <x:sheetPr>
    <x:tabColor rgb="FF247B8A"/>
  </x:sheetPr>
  <x:sheetViews>
    <x:sheetView showGridLines="0" workbookViewId="0">
      <x:pane xSplit="3" ySplit="1" topLeftCell="D2" activePane="bottomRight" state="frozen"/>
    </x:sheetView>
  </x:sheetViews>
  <x:sheetFormatPr defaultRowHeight="15"/>
  <x:cols>
    <x:col min="1" max="1" width="23" hidden="0" customWidth="1"/>
    <x:col min="2" max="2" width="35" hidden="0" customWidth="1"/>
    <x:col min="3" max="3" width="29" hidden="0" customWidth="1"/>
    <x:col min="4" max="4" width="18" hidden="0" customWidth="1"/>
    <x:col min="5" max="5" width="16" hidden="0" customWidth="1"/>
    <x:col min="6" max="6" width="21" hidden="0" customWidth="1"/>
    <x:col min="7" max="7" width="23" hidden="0" customWidth="1"/>
    <x:col min="8" max="8" width="15"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8" hidden="0" customWidth="1"/>
    <x:col min="18" max="18" width="29" hidden="0" customWidth="1"/>
    <x:col min="19" max="19" width="20" hidden="0" customWidth="1"/>
    <x:col min="20" max="20" width="76" hidden="0" customWidth="1"/>
    <x:col min="21" max="21" width="76" hidden="0" customWidth="1"/>
    <x:col min="22" max="22" width="55" hidden="0" customWidth="1"/>
    <x:col min="23" max="23" width="62" hidden="0" customWidth="1"/>
    <x:col min="24" max="24" width="76" hidden="0" customWidth="1"/>
    <x:col min="25" max="25" width="62" hidden="0" customWidth="1"/>
    <x:col min="26" max="26" width="76" hidden="0" customWidth="1"/>
    <x:col min="27" max="27" width="22" hidden="0" customWidth="1"/>
    <x:col min="28" max="28" width="22" hidden="0" customWidth="1"/>
    <x:col min="29" max="29" width="22" hidden="0" customWidth="1"/>
    <x:col min="30" max="30" width="22" hidden="0" customWidth="1"/>
    <x:col min="31" max="31" width="22" hidden="0" customWidth="1"/>
    <x:col min="32" max="32" width="22" hidden="0" customWidth="1"/>
    <x:col min="33" max="33" width="22" hidden="0" customWidth="1"/>
    <x:col min="34" max="34" width="22" hidden="0" customWidth="1"/>
    <x:col min="35" max="35" width="22" hidden="0" customWidth="1"/>
    <x:col min="36" max="36" width="22" hidden="0" customWidth="1"/>
  </x:cols>
  <x:sheetData>
    <x:row r="1" ht="38" hidden="0" customHeight="1">
      <x:c r="A1" s="20" t="str">
        <x:v>ID</x:v>
      </x:c>
      <x:c r="B1" s="20" t="str">
        <x:v>Name</x:v>
      </x:c>
      <x:c r="C1" s="20" t="str">
        <x:v>Role</x:v>
      </x:c>
      <x:c r="D1" s="20" t="str">
        <x:v>Recommendation</x:v>
      </x:c>
      <x:c r="E1" s="20" t="str">
        <x:v>Selected fit /3</x:v>
      </x:c>
      <x:c r="F1" s="20" t="str">
        <x:v>Weighted score /100</x:v>
      </x:c>
      <x:c r="G1" s="20" t="str">
        <x:v>Status</x:v>
      </x:c>
      <x:c r="H1" s="20" t="str">
        <x:v>Role rank</x:v>
      </x:c>
      <x:c r="I1" s="20" t="str">
        <x:v>Visual</x:v>
      </x:c>
      <x:c r="J1" s="20" t="str">
        <x:v>Interaction</x:v>
      </x:c>
      <x:c r="K1" s="20" t="str">
        <x:v>Accessibility</x:v>
      </x:c>
      <x:c r="L1" s="20" t="str">
        <x:v>Scale architecture</x:v>
      </x:c>
      <x:c r="M1" s="20" t="str">
        <x:v>React / Next</x:v>
      </x:c>
      <x:c r="N1" s="20" t="str">
        <x:v>Docs / examples</x:v>
      </x:c>
      <x:c r="O1" s="20" t="str">
        <x:v>Project health</x:v>
      </x:c>
      <x:c r="P1" s="20" t="str">
        <x:v>Ease of adoption</x:v>
      </x:c>
      <x:c r="Q1" s="20" t="str">
        <x:v>Setup effort</x:v>
      </x:c>
      <x:c r="R1" s="20" t="str">
        <x:v>Selection gate</x:v>
      </x:c>
      <x:c r="S1" s="20" t="str">
        <x:v>Confidence</x:v>
      </x:c>
      <x:c r="T1" s="20" t="str">
        <x:v>Use when</x:v>
      </x:c>
      <x:c r="U1" s="20" t="str">
        <x:v>Avoid / prefer alternative</x:v>
      </x:c>
      <x:c r="V1" s="20" t="str">
        <x:v>Compare options / related layers</x:v>
      </x:c>
      <x:c r="W1" s="20" t="str">
        <x:v>Best example</x:v>
      </x:c>
      <x:c r="X1" s="20" t="str">
        <x:v>Example moment</x:v>
      </x:c>
      <x:c r="Y1" s="20" t="str">
        <x:v>Second example / guidance</x:v>
      </x:c>
      <x:c r="Z1" s="20" t="str">
        <x:v>Second moment</x:v>
      </x:c>
      <x:c r="AA1" s="20" t="str">
        <x:v>Simple charts</x:v>
      </x:c>
      <x:c r="AB1" s="20" t="str">
        <x:v>KPI dashboards</x:v>
      </x:c>
      <x:c r="AC1" s="20" t="str">
        <x:v>Real-time trading charts</x:v>
      </x:c>
      <x:c r="AD1" s="20" t="str">
        <x:v>Live maps</x:v>
      </x:c>
      <x:c r="AE1" s="20" t="str">
        <x:v>Landing pages</x:v>
      </x:c>
      <x:c r="AF1" s="20" t="str">
        <x:v>3D product configurators</x:v>
      </x:c>
      <x:c r="AG1" s="20" t="str">
        <x:v>Multiplayer whiteboards</x:v>
      </x:c>
      <x:c r="AH1" s="20" t="str">
        <x:v>Video editing timelines</x:v>
      </x:c>
      <x:c r="AI1" s="20" t="str">
        <x:v>Network graphs</x:v>
      </x:c>
      <x:c r="AJ1" s="20" t="str">
        <x:v>AI agent interfaces</x:v>
      </x:c>
    </x:row>
    <x:row r="2" ht="24" hidden="0" customHeight="1">
      <x:c r="A2" s="3" t="str">
        <x:v>model-viewer</x:v>
      </x:c>
      <x:c r="B2" s="3" t="str">
        <x:v>&lt;model-viewer&gt;</x:v>
      </x:c>
      <x:c r="C2" s="3" t="str">
        <x:v>3D product viewer</x:v>
      </x:c>
      <x:c r="D2" s="3" t="str">
        <x:v>core</x:v>
      </x:c>
      <x:c r="E2" s="23" t="n">
        <x:f>INDEX(AA2:AJ2,1,MATCH('Choose a resource'!$B$3,$AA$1:$AJ$1,0))</x:f>
        <x:v>0</x:v>
      </x:c>
      <x:c r="F2" s="22" t="n">
        <x:f>IF(SUMIFS('Choose a resource'!$B$11:$I$11,I2:P2,"&gt;=1")=0,"",ROUND(100*SUMPRODUCT(I2:P2,'Choose a resource'!$B$11:$I$11)/(5*SUMIFS('Choose a resource'!$B$11:$I$11,I2:P2,"&gt;=1")),1))</x:f>
        <x:v>78</x:v>
      </x:c>
      <x:c r="G2" s="23" t="str">
        <x:f>IF(F2="","no applicable weights",IF(E2=0,"outside scenario",IF(AND('Choose a resource'!$B$4&lt;&gt;"All",C2&lt;&gt;'Choose a resource'!$B$4),"other role",IF(R2="dependency_scope_review","scope review",IF(AND(D2="watch",'Choose a resource'!$B$6&lt;&gt;"Yes"),"watch excluded","candidate")))))</x:f>
        <x:v>outside scenario</x:v>
      </x:c>
      <x:c r="H2" s="23" t="str">
        <x:f>IF(G2&lt;&gt;"candidate","",1+COUNTIFS($C$2:$C$63,C2,$G$2:$G$63,"candidate",$E$2:$E$63,"&gt;"&amp;E2)+COUNTIFS($C$2:$C$63,C2,$G$2:$G$63,"candidate",$E$2:$E$63,E2,$F$2:$F$63,"&gt;"&amp;F2))</x:f>
      </x:c>
      <x:c r="I2" s="23" t="n">
        <x:v>4</x:v>
      </x:c>
      <x:c r="J2" s="23" t="n">
        <x:v>4</x:v>
      </x:c>
      <x:c r="K2" s="23" t="n">
        <x:v>3</x:v>
      </x:c>
      <x:c r="L2" s="23" t="n">
        <x:v>4</x:v>
      </x:c>
      <x:c r="M2" s="23" t="n">
        <x:v>3</x:v>
      </x:c>
      <x:c r="N2" s="23" t="n">
        <x:v>5</x:v>
      </x:c>
      <x:c r="O2" s="23" t="n">
        <x:v>5</x:v>
      </x:c>
      <x:c r="P2" s="23" t="n">
        <x:v>5</x:v>
      </x:c>
      <x:c r="Q2" s="3" t="str">
        <x:v>low</x:v>
      </x:c>
      <x:c r="R2" s="3" t="str">
        <x:v>qualified_named_core_scope</x:v>
      </x:c>
      <x:c r="S2" s="3" t="str">
        <x:v>provisional</x:v>
      </x:c>
      <x:c r="T2" s="3" t="str">
        <x:v>Choose a ready-made viewer when the product needs orbit, hotspots or variants without a custom scene graph.</x:v>
      </x:c>
      <x:c r="U2" s="3" t="str">
        <x:v>Use React Three Fiber when scene composition and application logic dominate.</x:v>
      </x:c>
      <x:c r="V2" s="3" t="str">
        <x:v>React Three Fiber</x:v>
      </x:c>
      <x:c r="W2" s="3" t="str">
        <x:v>https://modelviewer.dev/examples/scenegraph/</x:v>
      </x:c>
      <x:c r="X2" s="3" t="str">
        <x:v>Official material/variant scene documentation reviewed; demo model did not finish loading in this browser session, so visual score is provisional.</x:v>
      </x:c>
      <x:c r="Y2" s="3" t="str">
        <x:v>https://modelviewer.dev/</x:v>
      </x:c>
      <x:c r="Z2" s="3" t="str">
        <x:v>Integration documentation; this link is guidance, not an additional live demonstration.</x:v>
      </x:c>
      <x:c r="AA2" s="3" t="n">
        <x:v>0</x:v>
      </x:c>
      <x:c r="AB2" s="3" t="n">
        <x:v>0</x:v>
      </x:c>
      <x:c r="AC2" s="3" t="n">
        <x:v>0</x:v>
      </x:c>
      <x:c r="AD2" s="3" t="n">
        <x:v>0</x:v>
      </x:c>
      <x:c r="AE2" s="3" t="n">
        <x:v>2</x:v>
      </x:c>
      <x:c r="AF2" s="3" t="n">
        <x:v>3</x:v>
      </x:c>
      <x:c r="AG2" s="3" t="n">
        <x:v>0</x:v>
      </x:c>
      <x:c r="AH2" s="3" t="n">
        <x:v>0</x:v>
      </x:c>
      <x:c r="AI2" s="3" t="n">
        <x:v>0</x:v>
      </x:c>
      <x:c r="AJ2" s="3" t="n">
        <x:v>0</x:v>
      </x:c>
    </x:row>
    <x:row r="3" ht="15" hidden="0" customHeight="1">
      <x:c r="A3" s="3" t="str">
        <x:v>ai_sdk</x:v>
      </x:c>
      <x:c r="B3" s="3" t="str">
        <x:v>AI SDK (Core + UI)</x:v>
      </x:c>
      <x:c r="C3" s="3" t="str">
        <x:v>Agent runtime</x:v>
      </x:c>
      <x:c r="D3" s="3" t="str">
        <x:v>core</x:v>
      </x:c>
      <x:c r="E3" s="23" t="n">
        <x:f>INDEX(AA3:AJ3,1,MATCH('Choose a resource'!$B$3,$AA$1:$AJ$1,0))</x:f>
        <x:v>0</x:v>
      </x:c>
      <x:c r="F3" s="22" t="n">
        <x:f>IF(SUMIFS('Choose a resource'!$B$11:$I$11,I3:P3,"&gt;=1")=0,"",ROUND(100*SUMPRODUCT(I3:P3,'Choose a resource'!$B$11:$I$11)/(5*SUMIFS('Choose a resource'!$B$11:$I$11,I3:P3,"&gt;=1")),1))</x:f>
        <x:v>92.3</x:v>
      </x:c>
      <x:c r="G3" s="23" t="str">
        <x:f>IF(F3="","no applicable weights",IF(E3=0,"outside scenario",IF(AND('Choose a resource'!$B$4&lt;&gt;"All",C3&lt;&gt;'Choose a resource'!$B$4),"other role",IF(R3="dependency_scope_review","scope review",IF(AND(D3="watch",'Choose a resource'!$B$6&lt;&gt;"Yes"),"watch excluded","candidate")))))</x:f>
        <x:v>outside scenario</x:v>
      </x:c>
      <x:c r="H3" s="23" t="str">
        <x:f>IF(G3&lt;&gt;"candidate","",1+COUNTIFS($C$2:$C$63,C3,$G$2:$G$63,"candidate",$E$2:$E$63,"&gt;"&amp;E3)+COUNTIFS($C$2:$C$63,C3,$G$2:$G$63,"candidate",$E$2:$E$63,E3,$F$2:$F$63,"&gt;"&amp;F3))</x:f>
      </x:c>
      <x:c r="I3" s="23"/>
      <x:c r="J3" s="23" t="n">
        <x:v>5</x:v>
      </x:c>
      <x:c r="K3" s="23"/>
      <x:c r="L3" s="23" t="n">
        <x:v>4</x:v>
      </x:c>
      <x:c r="M3" s="23" t="n">
        <x:v>5</x:v>
      </x:c>
      <x:c r="N3" s="23" t="n">
        <x:v>5</x:v>
      </x:c>
      <x:c r="O3" s="23" t="n">
        <x:v>5</x:v>
      </x:c>
      <x:c r="P3" s="23" t="n">
        <x:v>3</x:v>
      </x:c>
      <x:c r="Q3" s="3" t="str">
        <x:v>medium</x:v>
      </x:c>
      <x:c r="R3" s="3" t="str">
        <x:v>qualified_named_core_scope</x:v>
      </x:c>
      <x:c r="S3" s="3" t="str">
        <x:v>documented</x:v>
      </x:c>
      <x:c r="T3" s="3" t="str">
        <x:v>Choose when you need a provider-neutral stream/tool protocol and own the React interface.</x:v>
      </x:c>
      <x:c r="U3" s="3" t="str">
        <x:v>It does not supply the complete agent workbench, permission model or audit UI.</x:v>
      </x:c>
      <x:c r="V3" s="3" t="str">
        <x:v>assistant-ui; CopilotKit (MIT SDKs and TypeScript runtime); json-render</x:v>
      </x:c>
      <x:c r="W3" s="3" t="str">
        <x:v>https://ui.shadcn.com/docs/ai-elements/base/chat</x:v>
      </x:c>
      <x:c r="X3" s="3" t="str">
        <x:v>Headless SDK; 4/5 rates attainable output in the official shadcn/ui integration, not an intrinsic SDK skin.</x:v>
      </x:c>
      <x:c r="Y3" s="3" t="str">
        <x:v>https://ai-sdk.dev/docs/ai-sdk-ui/overview</x:v>
      </x:c>
      <x:c r="Z3" s="3" t="str">
        <x:v>Integration documentation; this link is guidance, not an additional live demonstration.</x:v>
      </x:c>
      <x:c r="AA3" s="3" t="n">
        <x:v>0</x:v>
      </x:c>
      <x:c r="AB3" s="3" t="n">
        <x:v>0</x:v>
      </x:c>
      <x:c r="AC3" s="3" t="n">
        <x:v>0</x:v>
      </x:c>
      <x:c r="AD3" s="3" t="n">
        <x:v>0</x:v>
      </x:c>
      <x:c r="AE3" s="3" t="n">
        <x:v>0</x:v>
      </x:c>
      <x:c r="AF3" s="3" t="n">
        <x:v>0</x:v>
      </x:c>
      <x:c r="AG3" s="3" t="n">
        <x:v>0</x:v>
      </x:c>
      <x:c r="AH3" s="3" t="n">
        <x:v>0</x:v>
      </x:c>
      <x:c r="AI3" s="3" t="n">
        <x:v>0</x:v>
      </x:c>
      <x:c r="AJ3" s="3" t="n">
        <x:v>3</x:v>
      </x:c>
    </x:row>
    <x:row r="4" ht="15" hidden="0" customHeight="1">
      <x:c r="A4" s="3" t="str">
        <x:v>echarts</x:v>
      </x:c>
      <x:c r="B4" s="3" t="str">
        <x:v>Apache ECharts</x:v>
      </x:c>
      <x:c r="C4" s="3" t="str">
        <x:v>Chart renderer</x:v>
      </x:c>
      <x:c r="D4" s="3" t="str">
        <x:v>core</x:v>
      </x:c>
      <x:c r="E4" s="23" t="n">
        <x:f>INDEX(AA4:AJ4,1,MATCH('Choose a resource'!$B$3,$AA$1:$AJ$1,0))</x:f>
        <x:v>3</x:v>
      </x:c>
      <x:c r="F4" s="22" t="n">
        <x:f>IF(SUMIFS('Choose a resource'!$B$11:$I$11,I4:P4,"&gt;=1")=0,"",ROUND(100*SUMPRODUCT(I4:P4,'Choose a resource'!$B$11:$I$11)/(5*SUMIFS('Choose a resource'!$B$11:$I$11,I4:P4,"&gt;=1")),1))</x:f>
        <x:v>82</x:v>
      </x:c>
      <x:c r="G4" s="23" t="str">
        <x:f>IF(F4="","no applicable weights",IF(E4=0,"outside scenario",IF(AND('Choose a resource'!$B$4&lt;&gt;"All",C4&lt;&gt;'Choose a resource'!$B$4),"other role",IF(R4="dependency_scope_review","scope review",IF(AND(D4="watch",'Choose a resource'!$B$6&lt;&gt;"Yes"),"watch excluded","candidate")))))</x:f>
        <x:v>candidate</x:v>
      </x:c>
      <x:c r="H4" s="23" t="n">
        <x:f>IF(G4&lt;&gt;"candidate","",1+COUNTIFS($C$2:$C$63,C4,$G$2:$G$63,"candidate",$E$2:$E$63,"&gt;"&amp;E4)+COUNTIFS($C$2:$C$63,C4,$G$2:$G$63,"candidate",$E$2:$E$63,E4,$F$2:$F$63,"&gt;"&amp;F4))</x:f>
        <x:v>2</x:v>
      </x:c>
      <x:c r="I4" s="23" t="n">
        <x:v>4</x:v>
      </x:c>
      <x:c r="J4" s="23" t="n">
        <x:v>5</x:v>
      </x:c>
      <x:c r="K4" s="23" t="n">
        <x:v>3</x:v>
      </x:c>
      <x:c r="L4" s="23" t="n">
        <x:v>5</x:v>
      </x:c>
      <x:c r="M4" s="23" t="n">
        <x:v>3</x:v>
      </x:c>
      <x:c r="N4" s="23" t="n">
        <x:v>5</x:v>
      </x:c>
      <x:c r="O4" s="23" t="n">
        <x:v>5</x:v>
      </x:c>
      <x:c r="P4" s="23" t="n">
        <x:v>3</x:v>
      </x:c>
      <x:c r="Q4" s="3" t="str">
        <x:v>medium</x:v>
      </x:c>
      <x:c r="R4" s="3" t="str">
        <x:v>qualified_named_core_scope</x:v>
      </x:c>
      <x:c r="S4" s="3" t="str">
        <x:v>documented</x:v>
      </x:c>
      <x:c r="T4" s="3" t="str">
        <x:v>Prefer over Recharts for built-in zoom, brush, linked views and specialist analytical chart types.</x:v>
      </x:c>
      <x:c r="U4" s="3" t="str">
        <x:v>Prefer Recharts for simple JSX-native product charts; use a dedicated finance renderer for trading ergonomics.</x:v>
      </x:c>
      <x:c r="V4" s="3" t="str">
        <x:v>Recharts; Lightweight Charts</x:v>
      </x:c>
      <x:c r="W4" s="3" t="str">
        <x:v>https://echarts.apache.org/examples/en/index.html</x:v>
      </x:c>
      <x:c r="X4" s="3" t="str">
        <x:v>Editorial potential from official example collection; existing handbook choice retained, not rescored by benchmark.</x:v>
      </x:c>
      <x:c r="Y4" s="3" t="str">
        <x:v>https://echarts.apache.org/handbook/en/get-started/</x:v>
      </x:c>
      <x:c r="Z4" s="3" t="str">
        <x:v>Integration documentation; this link is guidance, not an additional live demonstration.</x:v>
      </x:c>
      <x:c r="AA4" s="3" t="n">
        <x:v>2</x:v>
      </x:c>
      <x:c r="AB4" s="3" t="n">
        <x:v>3</x:v>
      </x:c>
      <x:c r="AC4" s="3" t="n">
        <x:v>2</x:v>
      </x:c>
      <x:c r="AD4" s="3" t="n">
        <x:v>0</x:v>
      </x:c>
      <x:c r="AE4" s="3" t="n">
        <x:v>0</x:v>
      </x:c>
      <x:c r="AF4" s="3" t="n">
        <x:v>0</x:v>
      </x:c>
      <x:c r="AG4" s="3" t="n">
        <x:v>0</x:v>
      </x:c>
      <x:c r="AH4" s="3" t="n">
        <x:v>0</x:v>
      </x:c>
      <x:c r="AI4" s="3" t="n">
        <x:v>2</x:v>
      </x:c>
      <x:c r="AJ4" s="3" t="n">
        <x:v>0</x:v>
      </x:c>
    </x:row>
    <x:row r="5" ht="24" hidden="0" customHeight="1">
      <x:c r="A5" s="3" t="str">
        <x:v>assistant_ui</x:v>
      </x:c>
      <x:c r="B5" s="3" t="str">
        <x:v>assistant-ui</x:v>
      </x:c>
      <x:c r="C5" s="3" t="str">
        <x:v>Agent UI</x:v>
      </x:c>
      <x:c r="D5" s="3" t="str">
        <x:v>core</x:v>
      </x:c>
      <x:c r="E5" s="23" t="n">
        <x:f>INDEX(AA5:AJ5,1,MATCH('Choose a resource'!$B$3,$AA$1:$AJ$1,0))</x:f>
        <x:v>0</x:v>
      </x:c>
      <x:c r="F5" s="22" t="n">
        <x:f>IF(SUMIFS('Choose a resource'!$B$11:$I$11,I5:P5,"&gt;=1")=0,"",ROUND(100*SUMPRODUCT(I5:P5,'Choose a resource'!$B$11:$I$11)/(5*SUMIFS('Choose a resource'!$B$11:$I$11,I5:P5,"&gt;=1")),1))</x:f>
        <x:v>88</x:v>
      </x:c>
      <x:c r="G5" s="23" t="str">
        <x:f>IF(F5="","no applicable weights",IF(E5=0,"outside scenario",IF(AND('Choose a resource'!$B$4&lt;&gt;"All",C5&lt;&gt;'Choose a resource'!$B$4),"other role",IF(R5="dependency_scope_review","scope review",IF(AND(D5="watch",'Choose a resource'!$B$6&lt;&gt;"Yes"),"watch excluded","candidate")))))</x:f>
        <x:v>outside scenario</x:v>
      </x:c>
      <x:c r="H5" s="23" t="str">
        <x:f>IF(G5&lt;&gt;"candidate","",1+COUNTIFS($C$2:$C$63,C5,$G$2:$G$63,"candidate",$E$2:$E$63,"&gt;"&amp;E5)+COUNTIFS($C$2:$C$63,C5,$G$2:$G$63,"candidate",$E$2:$E$63,E5,$F$2:$F$63,"&gt;"&amp;F5))</x:f>
      </x:c>
      <x:c r="I5" s="23" t="n">
        <x:v>4</x:v>
      </x:c>
      <x:c r="J5" s="23" t="n">
        <x:v>5</x:v>
      </x:c>
      <x:c r="K5" s="23" t="n">
        <x:v>4</x:v>
      </x:c>
      <x:c r="L5" s="23" t="n">
        <x:v>4</x:v>
      </x:c>
      <x:c r="M5" s="23" t="n">
        <x:v>5</x:v>
      </x:c>
      <x:c r="N5" s="23" t="n">
        <x:v>5</x:v>
      </x:c>
      <x:c r="O5" s="23" t="n">
        <x:v>4</x:v>
      </x:c>
      <x:c r="P5" s="23" t="n">
        <x:v>4</x:v>
      </x:c>
      <x:c r="Q5" s="3" t="str">
        <x:v>medium</x:v>
      </x:c>
      <x:c r="R5" s="3" t="str">
        <x:v>qualified_named_core_scope</x:v>
      </x:c>
      <x:c r="S5" s="3" t="str">
        <x:v>documented</x:v>
      </x:c>
      <x:c r="T5" s="3" t="str">
        <x:v>Prefer a complete composable chat runtime and accessible thread/composer primitives with your chosen backend.</x:v>
      </x:c>
      <x:c r="U5" s="3" t="str">
        <x:v>Choose AI SDK alone when you want to own every UI state, or CopilotKit for app actions and shared state.</x:v>
      </x:c>
      <x:c r="V5" s="3" t="str">
        <x:v>CopilotKit (MIT SDKs and TypeScript runtime); AI SDK (Core + UI)</x:v>
      </x:c>
      <x:c r="W5" s="3" t="str">
        <x:v>https://www.assistant-ui.com/elements/thread</x:v>
      </x:c>
      <x:c r="X5" s="3" t="str">
        <x:v>Rendered official Thread demo inspected: restrained typography, rounded composer, unobtrusive message actions. 4/5 is presentation quality, not measured smoothness.</x:v>
      </x:c>
      <x:c r="Y5" s="3" t="str">
        <x:v>https://www.assistant-ui.com/docs</x:v>
      </x:c>
      <x:c r="Z5" s="3" t="str">
        <x:v>Integration documentation; this link is guidance, not an additional live demonstration.</x:v>
      </x:c>
      <x:c r="AA5" s="3" t="n">
        <x:v>0</x:v>
      </x:c>
      <x:c r="AB5" s="3" t="n">
        <x:v>0</x:v>
      </x:c>
      <x:c r="AC5" s="3" t="n">
        <x:v>0</x:v>
      </x:c>
      <x:c r="AD5" s="3" t="n">
        <x:v>0</x:v>
      </x:c>
      <x:c r="AE5" s="3" t="n">
        <x:v>0</x:v>
      </x:c>
      <x:c r="AF5" s="3" t="n">
        <x:v>0</x:v>
      </x:c>
      <x:c r="AG5" s="3" t="n">
        <x:v>0</x:v>
      </x:c>
      <x:c r="AH5" s="3" t="n">
        <x:v>0</x:v>
      </x:c>
      <x:c r="AI5" s="3" t="n">
        <x:v>0</x:v>
      </x:c>
      <x:c r="AJ5" s="3" t="n">
        <x:v>3</x:v>
      </x:c>
    </x:row>
    <x:row r="6" ht="24" hidden="0" customHeight="1">
      <x:c r="A6" s="3" t="str">
        <x:v>base_ui</x:v>
      </x:c>
      <x:c r="B6" s="3" t="str">
        <x:v>Base UI</x:v>
      </x:c>
      <x:c r="C6" s="3" t="str">
        <x:v>Accessible primitives</x:v>
      </x:c>
      <x:c r="D6" s="3" t="str">
        <x:v>core</x:v>
      </x:c>
      <x:c r="E6" s="23" t="n">
        <x:f>INDEX(AA6:AJ6,1,MATCH('Choose a resource'!$B$3,$AA$1:$AJ$1,0))</x:f>
        <x:v>2</x:v>
      </x:c>
      <x:c r="F6" s="22" t="n">
        <x:f>IF(SUMIFS('Choose a resource'!$B$11:$I$11,I6:P6,"&gt;=1")=0,"",ROUND(100*SUMPRODUCT(I6:P6,'Choose a resource'!$B$11:$I$11)/(5*SUMIFS('Choose a resource'!$B$11:$I$11,I6:P6,"&gt;=1")),1))</x:f>
        <x:v>92</x:v>
      </x:c>
      <x:c r="G6" s="23" t="str">
        <x:f>IF(F6="","no applicable weights",IF(E6=0,"outside scenario",IF(AND('Choose a resource'!$B$4&lt;&gt;"All",C6&lt;&gt;'Choose a resource'!$B$4),"other role",IF(R6="dependency_scope_review","scope review",IF(AND(D6="watch",'Choose a resource'!$B$6&lt;&gt;"Yes"),"watch excluded","candidate")))))</x:f>
        <x:v>other role</x:v>
      </x:c>
      <x:c r="H6" s="23" t="str">
        <x:f>IF(G6&lt;&gt;"candidate","",1+COUNTIFS($C$2:$C$63,C6,$G$2:$G$63,"candidate",$E$2:$E$63,"&gt;"&amp;E6)+COUNTIFS($C$2:$C$63,C6,$G$2:$G$63,"candidate",$E$2:$E$63,E6,$F$2:$F$63,"&gt;"&amp;F6))</x:f>
      </x:c>
      <x:c r="I6" s="23" t="n">
        <x:v>4</x:v>
      </x:c>
      <x:c r="J6" s="23" t="n">
        <x:v>5</x:v>
      </x:c>
      <x:c r="K6" s="23" t="n">
        <x:v>5</x:v>
      </x:c>
      <x:c r="L6" s="23" t="n">
        <x:v>4</x:v>
      </x:c>
      <x:c r="M6" s="23" t="n">
        <x:v>5</x:v>
      </x:c>
      <x:c r="N6" s="23" t="n">
        <x:v>5</x:v>
      </x:c>
      <x:c r="O6" s="23" t="n">
        <x:v>5</x:v>
      </x:c>
      <x:c r="P6" s="23" t="n">
        <x:v>4</x:v>
      </x:c>
      <x:c r="Q6" s="3" t="str">
        <x:v>medium</x:v>
      </x:c>
      <x:c r="R6" s="3" t="str">
        <x:v>qualified_named_core_scope</x:v>
      </x:c>
      <x:c r="S6" s="3" t="str">
        <x:v>documented</x:v>
      </x:c>
      <x:c r="T6" s="3" t="str">
        <x:v>Choose unstyled React controls when you want current focus/keyboard behaviour with total visual ownership.</x:v>
      </x:c>
      <x:c r="U6" s="3" t="str">
        <x:v>Do not mix multiple behaviour libraries inside one complex control without checking focus and portal interactions.</x:v>
      </x:c>
      <x:c r="V6" s="3" t="str">
        <x:v>React Aria Components; Radix Primitives; Ark UI</x:v>
      </x:c>
      <x:c r="W6" s="3" t="str">
        <x:v>https://base-ui.com/react/components/dialog</x:v>
      </x:c>
      <x:c r="X6" s="3" t="str">
        <x:v>Editorial: restrained dialog demos and nested/close-confirmation examples; visual styling is supplied by the adopter.</x:v>
      </x:c>
      <x:c r="Y6" s="3" t="str">
        <x:v>https://base-ui.com/react/overview/quick-start</x:v>
      </x:c>
      <x:c r="Z6" s="3" t="str">
        <x:v>Integration documentation; this link is guidance, not an additional live demonstration.</x:v>
      </x:c>
      <x:c r="AA6" s="3" t="n">
        <x:v>2</x:v>
      </x:c>
      <x:c r="AB6" s="3" t="n">
        <x:v>2</x:v>
      </x:c>
      <x:c r="AC6" s="3" t="n">
        <x:v>2</x:v>
      </x:c>
      <x:c r="AD6" s="3" t="n">
        <x:v>2</x:v>
      </x:c>
      <x:c r="AE6" s="3" t="n">
        <x:v>2</x:v>
      </x:c>
      <x:c r="AF6" s="3" t="n">
        <x:v>2</x:v>
      </x:c>
      <x:c r="AG6" s="3" t="n">
        <x:v>2</x:v>
      </x:c>
      <x:c r="AH6" s="3" t="n">
        <x:v>2</x:v>
      </x:c>
      <x:c r="AI6" s="3" t="n">
        <x:v>2</x:v>
      </x:c>
      <x:c r="AJ6" s="3" t="n">
        <x:v>2</x:v>
      </x:c>
    </x:row>
    <x:row r="7" ht="24" hidden="0" customHeight="1">
      <x:c r="A7" s="3" t="str">
        <x:v>deck-gl</x:v>
      </x:c>
      <x:c r="B7" s="3" t="str">
        <x:v>deck.gl</x:v>
      </x:c>
      <x:c r="C7" s="3" t="str">
        <x:v>Geospatial layers</x:v>
      </x:c>
      <x:c r="D7" s="3" t="str">
        <x:v>core</x:v>
      </x:c>
      <x:c r="E7" s="23" t="n">
        <x:f>INDEX(AA7:AJ7,1,MATCH('Choose a resource'!$B$3,$AA$1:$AJ$1,0))</x:f>
        <x:v>2</x:v>
      </x:c>
      <x:c r="F7" s="22" t="n">
        <x:f>IF(SUMIFS('Choose a resource'!$B$11:$I$11,I7:P7,"&gt;=1")=0,"",ROUND(100*SUMPRODUCT(I7:P7,'Choose a resource'!$B$11:$I$11)/(5*SUMIFS('Choose a resource'!$B$11:$I$11,I7:P7,"&gt;=1")),1))</x:f>
        <x:v>85</x:v>
      </x:c>
      <x:c r="G7" s="23" t="str">
        <x:f>IF(F7="","no applicable weights",IF(E7=0,"outside scenario",IF(AND('Choose a resource'!$B$4&lt;&gt;"All",C7&lt;&gt;'Choose a resource'!$B$4),"other role",IF(R7="dependency_scope_review","scope review",IF(AND(D7="watch",'Choose a resource'!$B$6&lt;&gt;"Yes"),"watch excluded","candidate")))))</x:f>
        <x:v>other role</x:v>
      </x:c>
      <x:c r="H7" s="23" t="str">
        <x:f>IF(G7&lt;&gt;"candidate","",1+COUNTIFS($C$2:$C$63,C7,$G$2:$G$63,"candidate",$E$2:$E$63,"&gt;"&amp;E7)+COUNTIFS($C$2:$C$63,C7,$G$2:$G$63,"candidate",$E$2:$E$63,E7,$F$2:$F$63,"&gt;"&amp;F7))</x:f>
      </x:c>
      <x:c r="I7" s="23" t="n">
        <x:v>5</x:v>
      </x:c>
      <x:c r="J7" s="23" t="n">
        <x:v>5</x:v>
      </x:c>
      <x:c r="K7" s="23" t="n">
        <x:v>2</x:v>
      </x:c>
      <x:c r="L7" s="23" t="n">
        <x:v>5</x:v>
      </x:c>
      <x:c r="M7" s="23" t="n">
        <x:v>4</x:v>
      </x:c>
      <x:c r="N7" s="23" t="n">
        <x:v>5</x:v>
      </x:c>
      <x:c r="O7" s="23" t="n">
        <x:v>5</x:v>
      </x:c>
      <x:c r="P7" s="23" t="n">
        <x:v>2</x:v>
      </x:c>
      <x:c r="Q7" s="3" t="str">
        <x:v>high</x:v>
      </x:c>
      <x:c r="R7" s="3" t="str">
        <x:v>qualified_named_core_scope</x:v>
      </x:c>
      <x:c r="S7" s="3" t="str">
        <x:v>documented</x:v>
      </x:c>
      <x:c r="T7" s="3" t="str">
        <x:v>Add GPU analytical layers over MapLibre when point clouds, trips or dense geographic aggregation matter.</x:v>
      </x:c>
      <x:c r="U7" s="3" t="str">
        <x:v>It is not a complete basemap service or a default time-series chart library.</x:v>
      </x:c>
      <x:c r="V7" s="3" t="str">
        <x:v>kepler.gl</x:v>
      </x:c>
      <x:c r="W7" s="3" t="str">
        <x:v>https://deck.gl/</x:v>
      </x:c>
      <x:c r="X7" s="3" t="str">
        <x:v>Official map/layer showcase; editorial potential. Release 9.4 explicitly documents full official layer catalog WebGPU parity.</x:v>
      </x:c>
      <x:c r="Y7" s="3" t="str">
        <x:v>https://deck.gl/docs</x:v>
      </x:c>
      <x:c r="Z7" s="3" t="str">
        <x:v>Integration documentation; this link is guidance, not an additional live demonstration.</x:v>
      </x:c>
      <x:c r="AA7" s="3" t="n">
        <x:v>0</x:v>
      </x:c>
      <x:c r="AB7" s="3" t="n">
        <x:v>2</x:v>
      </x:c>
      <x:c r="AC7" s="3" t="n">
        <x:v>0</x:v>
      </x:c>
      <x:c r="AD7" s="3" t="n">
        <x:v>3</x:v>
      </x:c>
      <x:c r="AE7" s="3" t="n">
        <x:v>0</x:v>
      </x:c>
      <x:c r="AF7" s="3" t="n">
        <x:v>0</x:v>
      </x:c>
      <x:c r="AG7" s="3" t="n">
        <x:v>0</x:v>
      </x:c>
      <x:c r="AH7" s="3" t="n">
        <x:v>0</x:v>
      </x:c>
      <x:c r="AI7" s="3" t="n">
        <x:v>1</x:v>
      </x:c>
      <x:c r="AJ7" s="3" t="n">
        <x:v>0</x:v>
      </x:c>
    </x:row>
    <x:row r="8" ht="24" hidden="0" customHeight="1">
      <x:c r="A8" s="3" t="str">
        <x:v>excalidraw</x:v>
      </x:c>
      <x:c r="B8" s="3" t="str">
        <x:v>Excalidraw</x:v>
      </x:c>
      <x:c r="C8" s="3" t="str">
        <x:v>Whiteboard application</x:v>
      </x:c>
      <x:c r="D8" s="3" t="str">
        <x:v>core</x:v>
      </x:c>
      <x:c r="E8" s="23" t="n">
        <x:f>INDEX(AA8:AJ8,1,MATCH('Choose a resource'!$B$3,$AA$1:$AJ$1,0))</x:f>
        <x:v>0</x:v>
      </x:c>
      <x:c r="F8" s="22" t="n">
        <x:f>IF(SUMIFS('Choose a resource'!$B$11:$I$11,I8:P8,"&gt;=1")=0,"",ROUND(100*SUMPRODUCT(I8:P8,'Choose a resource'!$B$11:$I$11)/(5*SUMIFS('Choose a resource'!$B$11:$I$11,I8:P8,"&gt;=1")),1))</x:f>
        <x:v>77</x:v>
      </x:c>
      <x:c r="G8" s="23" t="str">
        <x:f>IF(F8="","no applicable weights",IF(E8=0,"outside scenario",IF(AND('Choose a resource'!$B$4&lt;&gt;"All",C8&lt;&gt;'Choose a resource'!$B$4),"other role",IF(R8="dependency_scope_review","scope review",IF(AND(D8="watch",'Choose a resource'!$B$6&lt;&gt;"Yes"),"watch excluded","candidate")))))</x:f>
        <x:v>outside scenario</x:v>
      </x:c>
      <x:c r="H8" s="23" t="str">
        <x:f>IF(G8&lt;&gt;"candidate","",1+COUNTIFS($C$2:$C$63,C8,$G$2:$G$63,"candidate",$E$2:$E$63,"&gt;"&amp;E8)+COUNTIFS($C$2:$C$63,C8,$G$2:$G$63,"candidate",$E$2:$E$63,E8,$F$2:$F$63,"&gt;"&amp;F8))</x:f>
      </x:c>
      <x:c r="I8" s="23" t="n">
        <x:v>4</x:v>
      </x:c>
      <x:c r="J8" s="23" t="n">
        <x:v>5</x:v>
      </x:c>
      <x:c r="K8" s="23" t="n">
        <x:v>3</x:v>
      </x:c>
      <x:c r="L8" s="23" t="n">
        <x:v>3</x:v>
      </x:c>
      <x:c r="M8" s="23" t="n">
        <x:v>4</x:v>
      </x:c>
      <x:c r="N8" s="23" t="n">
        <x:v>4</x:v>
      </x:c>
      <x:c r="O8" s="23" t="n">
        <x:v>5</x:v>
      </x:c>
      <x:c r="P8" s="23" t="n">
        <x:v>3</x:v>
      </x:c>
      <x:c r="Q8" s="3" t="str">
        <x:v>high</x:v>
      </x:c>
      <x:c r="R8" s="3" t="str">
        <x:v>qualified_named_core_scope</x:v>
      </x:c>
      <x:c r="S8" s="3" t="str">
        <x:v>documented</x:v>
      </x:c>
      <x:c r="T8" s="3" t="str">
        <x:v>Choose a recognisable complete whiteboard interaction model before designing your own drawing product.</x:v>
      </x:c>
      <x:c r="U8" s="3" t="str">
        <x:v>Embedding the editor is not turnkey multiplayer hosting; choose Konva or PixiJS for a custom scene model.</x:v>
      </x:c>
      <x:c r="V8" s="3" t="str">
        <x:v>Konva; PixiJS</x:v>
      </x:c>
      <x:c r="W8" s="3" t="str">
        <x:v>https://excalidraw.com/</x:v>
      </x:c>
      <x:c r="X8" s="3" t="str">
        <x:v>Live browser review 2026-10-17: floating tool strip, bottom zoom/history controls and clear first-use canvas; hand-drawn style is intentional.</x:v>
      </x:c>
      <x:c r="Y8" s="3" t="str">
        <x:v>https://docs.excalidraw.com/</x:v>
      </x:c>
      <x:c r="Z8" s="3" t="str">
        <x:v>Integration documentation; this link is guidance, not an additional live demonstration.</x:v>
      </x:c>
      <x:c r="AA8" s="3" t="n">
        <x:v>0</x:v>
      </x:c>
      <x:c r="AB8" s="3" t="n">
        <x:v>0</x:v>
      </x:c>
      <x:c r="AC8" s="3" t="n">
        <x:v>0</x:v>
      </x:c>
      <x:c r="AD8" s="3" t="n">
        <x:v>0</x:v>
      </x:c>
      <x:c r="AE8" s="3" t="n">
        <x:v>0</x:v>
      </x:c>
      <x:c r="AF8" s="3" t="n">
        <x:v>0</x:v>
      </x:c>
      <x:c r="AG8" s="3" t="n">
        <x:v>3</x:v>
      </x:c>
      <x:c r="AH8" s="3" t="n">
        <x:v>0</x:v>
      </x:c>
      <x:c r="AI8" s="3" t="n">
        <x:v>0</x:v>
      </x:c>
      <x:c r="AJ8" s="3" t="n">
        <x:v>2</x:v>
      </x:c>
    </x:row>
    <x:row r="9" ht="15" hidden="0" customHeight="1">
      <x:c r="A9" s="3" t="str">
        <x:v>fontsource</x:v>
      </x:c>
      <x:c r="B9" s="3" t="str">
        <x:v>Fontsource</x:v>
      </x:c>
      <x:c r="C9" s="3" t="str">
        <x:v>Font assets</x:v>
      </x:c>
      <x:c r="D9" s="3" t="str">
        <x:v>core</x:v>
      </x:c>
      <x:c r="E9" s="23" t="n">
        <x:f>INDEX(AA9:AJ9,1,MATCH('Choose a resource'!$B$3,$AA$1:$AJ$1,0))</x:f>
        <x:v>1</x:v>
      </x:c>
      <x:c r="F9" s="22" t="n">
        <x:f>IF(SUMIFS('Choose a resource'!$B$11:$I$11,I9:P9,"&gt;=1")=0,"",ROUND(100*SUMPRODUCT(I9:P9,'Choose a resource'!$B$11:$I$11)/(5*SUMIFS('Choose a resource'!$B$11:$I$11,I9:P9,"&gt;=1")),1))</x:f>
        <x:v>88.6</x:v>
      </x:c>
      <x:c r="G9" s="23" t="str">
        <x:f>IF(F9="","no applicable weights",IF(E9=0,"outside scenario",IF(AND('Choose a resource'!$B$4&lt;&gt;"All",C9&lt;&gt;'Choose a resource'!$B$4),"other role",IF(R9="dependency_scope_review","scope review",IF(AND(D9="watch",'Choose a resource'!$B$6&lt;&gt;"Yes"),"watch excluded","candidate")))))</x:f>
        <x:v>other role</x:v>
      </x:c>
      <x:c r="H9" s="23" t="str">
        <x:f>IF(G9&lt;&gt;"candidate","",1+COUNTIFS($C$2:$C$63,C9,$G$2:$G$63,"candidate",$E$2:$E$63,"&gt;"&amp;E9)+COUNTIFS($C$2:$C$63,C9,$G$2:$G$63,"candidate",$E$2:$E$63,E9,$F$2:$F$63,"&gt;"&amp;F9))</x:f>
      </x:c>
      <x:c r="I9" s="23" t="n">
        <x:v>4</x:v>
      </x:c>
      <x:c r="J9" s="23"/>
      <x:c r="K9" s="23"/>
      <x:c r="L9" s="23" t="n">
        <x:v>4</x:v>
      </x:c>
      <x:c r="M9" s="23" t="n">
        <x:v>5</x:v>
      </x:c>
      <x:c r="N9" s="23" t="n">
        <x:v>5</x:v>
      </x:c>
      <x:c r="O9" s="23" t="n">
        <x:v>4</x:v>
      </x:c>
      <x:c r="P9" s="23" t="n">
        <x:v>5</x:v>
      </x:c>
      <x:c r="Q9" s="3" t="str">
        <x:v>low</x:v>
      </x:c>
      <x:c r="R9" s="3" t="str">
        <x:v>qualified_named_core_scope</x:v>
      </x:c>
      <x:c r="S9" s="3" t="str">
        <x:v>documented</x:v>
      </x:c>
      <x:c r="T9" s="3" t="str">
        <x:v>Choose self-hosted font packages to control font delivery, subsets and versioning.</x:v>
      </x:c>
      <x:c r="U9" s="3" t="str">
        <x:v>Do not assume the tooling MIT licence applies to every font file or ship all weights by default.</x:v>
      </x:c>
      <x:c r="V9" s="3" t="str"/>
      <x:c r="W9" s="3" t="str">
        <x:v>https://fontsource.org/fonts/inter</x:v>
      </x:c>
      <x:c r="X9" s="3" t="str">
        <x:v>Editorial: Inter variable-font specimen; quality depends on the selected typeface and scale.</x:v>
      </x:c>
      <x:c r="Y9" s="3" t="str">
        <x:v>https://fontsource.org/docs</x:v>
      </x:c>
      <x:c r="Z9" s="3" t="str">
        <x:v>Integration documentation; this link is guidance, not an additional live demonstration.</x:v>
      </x:c>
      <x:c r="AA9" s="3" t="n">
        <x:v>1</x:v>
      </x:c>
      <x:c r="AB9" s="3" t="n">
        <x:v>1</x:v>
      </x:c>
      <x:c r="AC9" s="3" t="n">
        <x:v>1</x:v>
      </x:c>
      <x:c r="AD9" s="3" t="n">
        <x:v>1</x:v>
      </x:c>
      <x:c r="AE9" s="3" t="n">
        <x:v>1</x:v>
      </x:c>
      <x:c r="AF9" s="3" t="n">
        <x:v>1</x:v>
      </x:c>
      <x:c r="AG9" s="3" t="n">
        <x:v>1</x:v>
      </x:c>
      <x:c r="AH9" s="3" t="n">
        <x:v>1</x:v>
      </x:c>
      <x:c r="AI9" s="3" t="n">
        <x:v>1</x:v>
      </x:c>
      <x:c r="AJ9" s="3" t="n">
        <x:v>1</x:v>
      </x:c>
    </x:row>
    <x:row r="10" ht="24" hidden="0" customHeight="1">
      <x:c r="A10" s="3" t="str">
        <x:v>lexical</x:v>
      </x:c>
      <x:c r="B10" s="3" t="str">
        <x:v>Lexical</x:v>
      </x:c>
      <x:c r="C10" s="3" t="str">
        <x:v>Rich text editor</x:v>
      </x:c>
      <x:c r="D10" s="3" t="str">
        <x:v>core</x:v>
      </x:c>
      <x:c r="E10" s="23" t="n">
        <x:f>INDEX(AA10:AJ10,1,MATCH('Choose a resource'!$B$3,$AA$1:$AJ$1,0))</x:f>
        <x:v>0</x:v>
      </x:c>
      <x:c r="F10" s="22" t="n">
        <x:f>IF(SUMIFS('Choose a resource'!$B$11:$I$11,I10:P10,"&gt;=1")=0,"",ROUND(100*SUMPRODUCT(I10:P10,'Choose a resource'!$B$11:$I$11)/(5*SUMIFS('Choose a resource'!$B$11:$I$11,I10:P10,"&gt;=1")),1))</x:f>
        <x:v>85</x:v>
      </x:c>
      <x:c r="G10" s="23" t="str">
        <x:f>IF(F10="","no applicable weights",IF(E10=0,"outside scenario",IF(AND('Choose a resource'!$B$4&lt;&gt;"All",C10&lt;&gt;'Choose a resource'!$B$4),"other role",IF(R10="dependency_scope_review","scope review",IF(AND(D10="watch",'Choose a resource'!$B$6&lt;&gt;"Yes"),"watch excluded","candidate")))))</x:f>
        <x:v>outside scenario</x:v>
      </x:c>
      <x:c r="H10" s="23" t="str">
        <x:f>IF(G10&lt;&gt;"candidate","",1+COUNTIFS($C$2:$C$63,C10,$G$2:$G$63,"candidate",$E$2:$E$63,"&gt;"&amp;E10)+COUNTIFS($C$2:$C$63,C10,$G$2:$G$63,"candidate",$E$2:$E$63,E10,$F$2:$F$63,"&gt;"&amp;F10))</x:f>
      </x:c>
      <x:c r="I10" s="23" t="n">
        <x:v>4</x:v>
      </x:c>
      <x:c r="J10" s="23" t="n">
        <x:v>5</x:v>
      </x:c>
      <x:c r="K10" s="23" t="n">
        <x:v>4</x:v>
      </x:c>
      <x:c r="L10" s="23" t="n">
        <x:v>4</x:v>
      </x:c>
      <x:c r="M10" s="23" t="n">
        <x:v>5</x:v>
      </x:c>
      <x:c r="N10" s="23" t="n">
        <x:v>4</x:v>
      </x:c>
      <x:c r="O10" s="23" t="n">
        <x:v>5</x:v>
      </x:c>
      <x:c r="P10" s="23" t="n">
        <x:v>2</x:v>
      </x:c>
      <x:c r="Q10" s="3" t="str">
        <x:v>high</x:v>
      </x:c>
      <x:c r="R10" s="3" t="str">
        <x:v>qualified_named_core_scope</x:v>
      </x:c>
      <x:c r="S10" s="3" t="str">
        <x:v>documented</x:v>
      </x:c>
      <x:c r="T10" s="3" t="str">
        <x:v>Choose a React editor engine when bespoke document structure and controlled update behaviour justify engineering effort.</x:v>
      </x:c>
      <x:c r="U10" s="3" t="str">
        <x:v>Prefer Tiptap for faster access to an extensive extension ecosystem.</x:v>
      </x:c>
      <x:c r="V10" s="3" t="str">
        <x:v>Tiptap OSS Editor</x:v>
      </x:c>
      <x:c r="W10" s="3" t="str">
        <x:v>https://lexical.dev/</x:v>
      </x:c>
      <x:c r="X10" s="3" t="str">
        <x:v>Live browser visual review 2026-10-17: clean toolbar/editor; official page also demonstrates compact chat and block-editor patterns.</x:v>
      </x:c>
      <x:c r="Y10" s="3" t="str">
        <x:v>https://lexical.dev/docs/intro</x:v>
      </x:c>
      <x:c r="Z10" s="3" t="str">
        <x:v>Integration documentation; this link is guidance, not an additional live demonstration.</x:v>
      </x:c>
      <x:c r="AA10" s="3" t="n">
        <x:v>0</x:v>
      </x:c>
      <x:c r="AB10" s="3" t="n">
        <x:v>0</x:v>
      </x:c>
      <x:c r="AC10" s="3" t="n">
        <x:v>0</x:v>
      </x:c>
      <x:c r="AD10" s="3" t="n">
        <x:v>0</x:v>
      </x:c>
      <x:c r="AE10" s="3" t="n">
        <x:v>0</x:v>
      </x:c>
      <x:c r="AF10" s="3" t="n">
        <x:v>0</x:v>
      </x:c>
      <x:c r="AG10" s="3" t="n">
        <x:v>2</x:v>
      </x:c>
      <x:c r="AH10" s="3" t="n">
        <x:v>2</x:v>
      </x:c>
      <x:c r="AI10" s="3" t="n">
        <x:v>0</x:v>
      </x:c>
      <x:c r="AJ10" s="3" t="n">
        <x:v>2</x:v>
      </x:c>
    </x:row>
    <x:row r="11" ht="15" hidden="0" customHeight="1">
      <x:c r="A11" s="3" t="str">
        <x:v>lightweight-charts</x:v>
      </x:c>
      <x:c r="B11" s="3" t="str">
        <x:v>Lightweight Charts</x:v>
      </x:c>
      <x:c r="C11" s="3" t="str">
        <x:v>Chart renderer</x:v>
      </x:c>
      <x:c r="D11" s="3" t="str">
        <x:v>core</x:v>
      </x:c>
      <x:c r="E11" s="23" t="n">
        <x:f>INDEX(AA11:AJ11,1,MATCH('Choose a resource'!$B$3,$AA$1:$AJ$1,0))</x:f>
        <x:v>1</x:v>
      </x:c>
      <x:c r="F11" s="22" t="n">
        <x:f>IF(SUMIFS('Choose a resource'!$B$11:$I$11,I11:P11,"&gt;=1")=0,"",ROUND(100*SUMPRODUCT(I11:P11,'Choose a resource'!$B$11:$I$11)/(5*SUMIFS('Choose a resource'!$B$11:$I$11,I11:P11,"&gt;=1")),1))</x:f>
        <x:v>74</x:v>
      </x:c>
      <x:c r="G11" s="23" t="str">
        <x:f>IF(F11="","no applicable weights",IF(E11=0,"outside scenario",IF(AND('Choose a resource'!$B$4&lt;&gt;"All",C11&lt;&gt;'Choose a resource'!$B$4),"other role",IF(R11="dependency_scope_review","scope review",IF(AND(D11="watch",'Choose a resource'!$B$6&lt;&gt;"Yes"),"watch excluded","candidate")))))</x:f>
        <x:v>candidate</x:v>
      </x:c>
      <x:c r="H11" s="23" t="n">
        <x:f>IF(G11&lt;&gt;"candidate","",1+COUNTIFS($C$2:$C$63,C11,$G$2:$G$63,"candidate",$E$2:$E$63,"&gt;"&amp;E11)+COUNTIFS($C$2:$C$63,C11,$G$2:$G$63,"candidate",$E$2:$E$63,E11,$F$2:$F$63,"&gt;"&amp;F11))</x:f>
        <x:v>3</x:v>
      </x:c>
      <x:c r="I11" s="23" t="n">
        <x:v>4</x:v>
      </x:c>
      <x:c r="J11" s="23" t="n">
        <x:v>5</x:v>
      </x:c>
      <x:c r="K11" s="23" t="n">
        <x:v>1</x:v>
      </x:c>
      <x:c r="L11" s="23" t="n">
        <x:v>5</x:v>
      </x:c>
      <x:c r="M11" s="23" t="n">
        <x:v>3</x:v>
      </x:c>
      <x:c r="N11" s="23" t="n">
        <x:v>4</x:v>
      </x:c>
      <x:c r="O11" s="23" t="n">
        <x:v>5</x:v>
      </x:c>
      <x:c r="P11" s="23" t="n">
        <x:v>3</x:v>
      </x:c>
      <x:c r="Q11" s="3" t="str">
        <x:v>medium</x:v>
      </x:c>
      <x:c r="R11" s="3" t="str">
        <x:v>qualified_named_core_scope</x:v>
      </x:c>
      <x:c r="S11" s="3" t="str">
        <x:v>documented</x:v>
      </x:c>
      <x:c r="T11" s="3" t="str">
        <x:v>Choose for a financial time-series viewport with price scale, crosshair and incremental tick updates.</x:v>
      </x:c>
      <x:c r="U11" s="3" t="str">
        <x:v>Use ECharts for broader analytics and Recharts for ordinary accessible product charts.</x:v>
      </x:c>
      <x:c r="V11" s="3" t="str">
        <x:v>Apache ECharts; Recharts</x:v>
      </x:c>
      <x:c r="W11" s="3" t="str">
        <x:v>https://tradingview.github.io/lightweight-charts/tutorials/demos/realtime-updates</x:v>
      </x:c>
      <x:c r="X11" s="3" t="str">
        <x:v>Official real-time candlestick sample; editorial assessment, no measured latency test.</x:v>
      </x:c>
      <x:c r="Y11" s="3" t="str">
        <x:v>https://tradingview.github.io/lightweight-charts/</x:v>
      </x:c>
      <x:c r="Z11" s="3" t="str">
        <x:v>Integration documentation; this link is guidance, not an additional live demonstration.</x:v>
      </x:c>
      <x:c r="AA11" s="3" t="n">
        <x:v>1</x:v>
      </x:c>
      <x:c r="AB11" s="3" t="n">
        <x:v>1</x:v>
      </x:c>
      <x:c r="AC11" s="3" t="n">
        <x:v>3</x:v>
      </x:c>
      <x:c r="AD11" s="3" t="n">
        <x:v>0</x:v>
      </x:c>
      <x:c r="AE11" s="3" t="n">
        <x:v>0</x:v>
      </x:c>
      <x:c r="AF11" s="3" t="n">
        <x:v>0</x:v>
      </x:c>
      <x:c r="AG11" s="3" t="n">
        <x:v>0</x:v>
      </x:c>
      <x:c r="AH11" s="3" t="n">
        <x:v>0</x:v>
      </x:c>
      <x:c r="AI11" s="3" t="n">
        <x:v>0</x:v>
      </x:c>
      <x:c r="AJ11" s="3" t="n">
        <x:v>0</x:v>
      </x:c>
    </x:row>
    <x:row r="12" ht="15" hidden="0" customHeight="1">
      <x:c r="A12" s="3" t="str">
        <x:v>lucide</x:v>
      </x:c>
      <x:c r="B12" s="3" t="str">
        <x:v>Lucide</x:v>
      </x:c>
      <x:c r="C12" s="3" t="str">
        <x:v>Icon assets</x:v>
      </x:c>
      <x:c r="D12" s="3" t="str">
        <x:v>core</x:v>
      </x:c>
      <x:c r="E12" s="23" t="n">
        <x:f>INDEX(AA12:AJ12,1,MATCH('Choose a resource'!$B$3,$AA$1:$AJ$1,0))</x:f>
        <x:v>1</x:v>
      </x:c>
      <x:c r="F12" s="22" t="n">
        <x:f>IF(SUMIFS('Choose a resource'!$B$11:$I$11,I12:P12,"&gt;=1")=0,"",ROUND(100*SUMPRODUCT(I12:P12,'Choose a resource'!$B$11:$I$11)/(5*SUMIFS('Choose a resource'!$B$11:$I$11,I12:P12,"&gt;=1")),1))</x:f>
        <x:v>88.2</x:v>
      </x:c>
      <x:c r="G12" s="23" t="str">
        <x:f>IF(F12="","no applicable weights",IF(E12=0,"outside scenario",IF(AND('Choose a resource'!$B$4&lt;&gt;"All",C12&lt;&gt;'Choose a resource'!$B$4),"other role",IF(R12="dependency_scope_review","scope review",IF(AND(D12="watch",'Choose a resource'!$B$6&lt;&gt;"Yes"),"watch excluded","candidate")))))</x:f>
        <x:v>other role</x:v>
      </x:c>
      <x:c r="H12" s="23" t="str">
        <x:f>IF(G12&lt;&gt;"candidate","",1+COUNTIFS($C$2:$C$63,C12,$G$2:$G$63,"candidate",$E$2:$E$63,"&gt;"&amp;E12)+COUNTIFS($C$2:$C$63,C12,$G$2:$G$63,"candidate",$E$2:$E$63,E12,$F$2:$F$63,"&gt;"&amp;F12))</x:f>
      </x:c>
      <x:c r="I12" s="23" t="n">
        <x:v>4</x:v>
      </x:c>
      <x:c r="J12" s="23"/>
      <x:c r="K12" s="23" t="n">
        <x:v>3</x:v>
      </x:c>
      <x:c r="L12" s="23" t="n">
        <x:v>5</x:v>
      </x:c>
      <x:c r="M12" s="23" t="n">
        <x:v>5</x:v>
      </x:c>
      <x:c r="N12" s="23" t="n">
        <x:v>5</x:v>
      </x:c>
      <x:c r="O12" s="23" t="n">
        <x:v>5</x:v>
      </x:c>
      <x:c r="P12" s="23" t="n">
        <x:v>5</x:v>
      </x:c>
      <x:c r="Q12" s="3" t="str">
        <x:v>low</x:v>
      </x:c>
      <x:c r="R12" s="3" t="str">
        <x:v>qualified_named_core_scope</x:v>
      </x:c>
      <x:c r="S12" s="3" t="str">
        <x:v>documented</x:v>
      </x:c>
      <x:c r="T12" s="3" t="str">
        <x:v>Choose a consistent stroke icon vocabulary that can be tree-shaken and styled with the app tokens.</x:v>
      </x:c>
      <x:c r="U12" s="3" t="str">
        <x:v>Icons still need accessible names and consistent semantics; this is not an imagery/illustration service.</x:v>
      </x:c>
      <x:c r="V12" s="3" t="str"/>
      <x:c r="W12" s="3" t="str">
        <x:v>https://lucide.dev/icons/</x:v>
      </x:c>
      <x:c r="X12" s="3" t="str">
        <x:v>Editorial: searchable icon gallery with consistent stroke rhythm and extensive desktop coverage.</x:v>
      </x:c>
      <x:c r="Y12" s="3" t="str">
        <x:v>https://lucide.dev/guide/</x:v>
      </x:c>
      <x:c r="Z12" s="3" t="str">
        <x:v>Integration documentation; this link is guidance, not an additional live demonstration.</x:v>
      </x:c>
      <x:c r="AA12" s="3" t="n">
        <x:v>1</x:v>
      </x:c>
      <x:c r="AB12" s="3" t="n">
        <x:v>1</x:v>
      </x:c>
      <x:c r="AC12" s="3" t="n">
        <x:v>1</x:v>
      </x:c>
      <x:c r="AD12" s="3" t="n">
        <x:v>1</x:v>
      </x:c>
      <x:c r="AE12" s="3" t="n">
        <x:v>1</x:v>
      </x:c>
      <x:c r="AF12" s="3" t="n">
        <x:v>1</x:v>
      </x:c>
      <x:c r="AG12" s="3" t="n">
        <x:v>1</x:v>
      </x:c>
      <x:c r="AH12" s="3" t="n">
        <x:v>1</x:v>
      </x:c>
      <x:c r="AI12" s="3" t="n">
        <x:v>1</x:v>
      </x:c>
      <x:c r="AJ12" s="3" t="n">
        <x:v>1</x:v>
      </x:c>
    </x:row>
    <x:row r="13" ht="15" hidden="0" customHeight="1">
      <x:c r="A13" s="3" t="str">
        <x:v>maplibre-gl-js</x:v>
      </x:c>
      <x:c r="B13" s="3" t="str">
        <x:v>MapLibre GL JS</x:v>
      </x:c>
      <x:c r="C13" s="3" t="str">
        <x:v>Map basemap</x:v>
      </x:c>
      <x:c r="D13" s="3" t="str">
        <x:v>core</x:v>
      </x:c>
      <x:c r="E13" s="23" t="n">
        <x:f>INDEX(AA13:AJ13,1,MATCH('Choose a resource'!$B$3,$AA$1:$AJ$1,0))</x:f>
        <x:v>2</x:v>
      </x:c>
      <x:c r="F13" s="22" t="n">
        <x:f>IF(SUMIFS('Choose a resource'!$B$11:$I$11,I13:P13,"&gt;=1")=0,"",ROUND(100*SUMPRODUCT(I13:P13,'Choose a resource'!$B$11:$I$11)/(5*SUMIFS('Choose a resource'!$B$11:$I$11,I13:P13,"&gt;=1")),1))</x:f>
        <x:v>79</x:v>
      </x:c>
      <x:c r="G13" s="23" t="str">
        <x:f>IF(F13="","no applicable weights",IF(E13=0,"outside scenario",IF(AND('Choose a resource'!$B$4&lt;&gt;"All",C13&lt;&gt;'Choose a resource'!$B$4),"other role",IF(R13="dependency_scope_review","scope review",IF(AND(D13="watch",'Choose a resource'!$B$6&lt;&gt;"Yes"),"watch excluded","candidate")))))</x:f>
        <x:v>other role</x:v>
      </x:c>
      <x:c r="H13" s="23" t="str">
        <x:f>IF(G13&lt;&gt;"candidate","",1+COUNTIFS($C$2:$C$63,C13,$G$2:$G$63,"candidate",$E$2:$E$63,"&gt;"&amp;E13)+COUNTIFS($C$2:$C$63,C13,$G$2:$G$63,"candidate",$E$2:$E$63,E13,$F$2:$F$63,"&gt;"&amp;F13))</x:f>
      </x:c>
      <x:c r="I13" s="23" t="n">
        <x:v>4</x:v>
      </x:c>
      <x:c r="J13" s="23" t="n">
        <x:v>5</x:v>
      </x:c>
      <x:c r="K13" s="23" t="n">
        <x:v>2</x:v>
      </x:c>
      <x:c r="L13" s="23" t="n">
        <x:v>5</x:v>
      </x:c>
      <x:c r="M13" s="23" t="n">
        <x:v>3</x:v>
      </x:c>
      <x:c r="N13" s="23" t="n">
        <x:v>5</x:v>
      </x:c>
      <x:c r="O13" s="23" t="n">
        <x:v>5</x:v>
      </x:c>
      <x:c r="P13" s="23" t="n">
        <x:v>3</x:v>
      </x:c>
      <x:c r="Q13" s="3" t="str">
        <x:v>medium</x:v>
      </x:c>
      <x:c r="R13" s="3" t="str">
        <x:v>qualified_named_core_scope</x:v>
      </x:c>
      <x:c r="S13" s="3" t="str">
        <x:v>documented</x:v>
      </x:c>
      <x:c r="T13" s="3" t="str">
        <x:v>Choose for an open vector-map engine; add deck.gl for analytical overlays when needed.</x:v>
      </x:c>
      <x:c r="U13" s="3" t="str">
        <x:v>The engine does not provide free tiles, geocoding, map-data rights or a nonvisual representation.</x:v>
      </x:c>
      <x:c r="V13" s="3" t="str">
        <x:v>deck.gl</x:v>
      </x:c>
      <x:c r="W13" s="3" t="str">
        <x:v>https://maplibre.org/maplibre-gl-js/docs/examples/3d-terrain/</x:v>
      </x:c>
      <x:c r="X13" s="3" t="str">
        <x:v>Official terrain and real-time feature examples; editorial assessment, no live-map benchmark.</x:v>
      </x:c>
      <x:c r="Y13" s="3" t="str">
        <x:v>https://maplibre.org/maplibre-gl-js/docs/</x:v>
      </x:c>
      <x:c r="Z13" s="3" t="str">
        <x:v>Integration documentation; this link is guidance, not an additional live demonstration.</x:v>
      </x:c>
      <x:c r="AA13" s="3" t="n">
        <x:v>0</x:v>
      </x:c>
      <x:c r="AB13" s="3" t="n">
        <x:v>2</x:v>
      </x:c>
      <x:c r="AC13" s="3" t="n">
        <x:v>0</x:v>
      </x:c>
      <x:c r="AD13" s="3" t="n">
        <x:v>3</x:v>
      </x:c>
      <x:c r="AE13" s="3" t="n">
        <x:v>0</x:v>
      </x:c>
      <x:c r="AF13" s="3" t="n">
        <x:v>0</x:v>
      </x:c>
      <x:c r="AG13" s="3" t="n">
        <x:v>0</x:v>
      </x:c>
      <x:c r="AH13" s="3" t="n">
        <x:v>0</x:v>
      </x:c>
      <x:c r="AI13" s="3" t="n">
        <x:v>0</x:v>
      </x:c>
      <x:c r="AJ13" s="3" t="n">
        <x:v>0</x:v>
      </x:c>
    </x:row>
    <x:row r="14" ht="15" hidden="0" customHeight="1">
      <x:c r="A14" s="3" t="str">
        <x:v>motion</x:v>
      </x:c>
      <x:c r="B14" s="3" t="str">
        <x:v>Motion</x:v>
      </x:c>
      <x:c r="C14" s="3" t="str">
        <x:v>DOM motion</x:v>
      </x:c>
      <x:c r="D14" s="3" t="str">
        <x:v>core</x:v>
      </x:c>
      <x:c r="E14" s="23" t="n">
        <x:f>INDEX(AA14:AJ14,1,MATCH('Choose a resource'!$B$3,$AA$1:$AJ$1,0))</x:f>
        <x:v>2</x:v>
      </x:c>
      <x:c r="F14" s="22" t="n">
        <x:f>IF(SUMIFS('Choose a resource'!$B$11:$I$11,I14:P14,"&gt;=1")=0,"",ROUND(100*SUMPRODUCT(I14:P14,'Choose a resource'!$B$11:$I$11)/(5*SUMIFS('Choose a resource'!$B$11:$I$11,I14:P14,"&gt;=1")),1))</x:f>
        <x:v>93</x:v>
      </x:c>
      <x:c r="G14" s="23" t="str">
        <x:f>IF(F14="","no applicable weights",IF(E14=0,"outside scenario",IF(AND('Choose a resource'!$B$4&lt;&gt;"All",C14&lt;&gt;'Choose a resource'!$B$4),"other role",IF(R14="dependency_scope_review","scope review",IF(AND(D14="watch",'Choose a resource'!$B$6&lt;&gt;"Yes"),"watch excluded","candidate")))))</x:f>
        <x:v>other role</x:v>
      </x:c>
      <x:c r="H14" s="23" t="str">
        <x:f>IF(G14&lt;&gt;"candidate","",1+COUNTIFS($C$2:$C$63,C14,$G$2:$G$63,"candidate",$E$2:$E$63,"&gt;"&amp;E14)+COUNTIFS($C$2:$C$63,C14,$G$2:$G$63,"candidate",$E$2:$E$63,E14,$F$2:$F$63,"&gt;"&amp;F14))</x:f>
      </x:c>
      <x:c r="I14" s="23" t="n">
        <x:v>5</x:v>
      </x:c>
      <x:c r="J14" s="23" t="n">
        <x:v>5</x:v>
      </x:c>
      <x:c r="K14" s="23" t="n">
        <x:v>4</x:v>
      </x:c>
      <x:c r="L14" s="23" t="n">
        <x:v>4</x:v>
      </x:c>
      <x:c r="M14" s="23" t="n">
        <x:v>5</x:v>
      </x:c>
      <x:c r="N14" s="23" t="n">
        <x:v>5</x:v>
      </x:c>
      <x:c r="O14" s="23" t="n">
        <x:v>5</x:v>
      </x:c>
      <x:c r="P14" s="23" t="n">
        <x:v>4</x:v>
      </x:c>
      <x:c r="Q14" s="3" t="str">
        <x:v>medium</x:v>
      </x:c>
      <x:c r="R14" s="3" t="str">
        <x:v>qualified_named_core_scope</x:v>
      </x:c>
      <x:c r="S14" s="3" t="str">
        <x:v>documented</x:v>
      </x:c>
      <x:c r="T14" s="3" t="str">
        <x:v>Use for interruptible React transitions, springs, layout changes and state feedback.</x:v>
      </x:c>
      <x:c r="U14" s="3" t="str">
        <x:v>Use native CSS for trivial effects; use Rive for designer-authored animated assets rather than DOM state.</x:v>
      </x:c>
      <x:c r="V14" s="3" t="str">
        <x:v>Anime.js; Rive Web runtime (MIT playback; separate authoring)</x:v>
      </x:c>
      <x:c r="W14" s="3" t="str">
        <x:v>https://motion.dev/docs/react-layout-animations</x:v>
      </x:c>
      <x:c r="X14" s="3" t="str">
        <x:v>Editorial: shared-layout transition examples show fluid continuity; premium Motion+ examples are excluded.</x:v>
      </x:c>
      <x:c r="Y14" s="3" t="str">
        <x:v>https://emilkowal.ski/ui/you-dont-need-animations</x:v>
      </x:c>
      <x:c r="Z14" s="3" t="str">
        <x:v>Compare purposeful press feedback/explanatory feature motion with immediate recurring-command response.</x:v>
      </x:c>
      <x:c r="AA14" s="3" t="n">
        <x:v>2</x:v>
      </x:c>
      <x:c r="AB14" s="3" t="n">
        <x:v>2</x:v>
      </x:c>
      <x:c r="AC14" s="3" t="n">
        <x:v>2</x:v>
      </x:c>
      <x:c r="AD14" s="3" t="n">
        <x:v>2</x:v>
      </x:c>
      <x:c r="AE14" s="3" t="n">
        <x:v>2</x:v>
      </x:c>
      <x:c r="AF14" s="3" t="n">
        <x:v>2</x:v>
      </x:c>
      <x:c r="AG14" s="3" t="n">
        <x:v>2</x:v>
      </x:c>
      <x:c r="AH14" s="3" t="n">
        <x:v>2</x:v>
      </x:c>
      <x:c r="AI14" s="3" t="n">
        <x:v>2</x:v>
      </x:c>
      <x:c r="AJ14" s="3" t="n">
        <x:v>2</x:v>
      </x:c>
    </x:row>
    <x:row r="15" ht="15" hidden="0" customHeight="1">
      <x:c r="A15" s="3" t="str">
        <x:v>react_aria</x:v>
      </x:c>
      <x:c r="B15" s="3" t="str">
        <x:v>React Aria Components</x:v>
      </x:c>
      <x:c r="C15" s="3" t="str">
        <x:v>Accessible primitives</x:v>
      </x:c>
      <x:c r="D15" s="3" t="str">
        <x:v>core</x:v>
      </x:c>
      <x:c r="E15" s="23" t="n">
        <x:f>INDEX(AA15:AJ15,1,MATCH('Choose a resource'!$B$3,$AA$1:$AJ$1,0))</x:f>
        <x:v>2</x:v>
      </x:c>
      <x:c r="F15" s="22" t="n">
        <x:f>IF(SUMIFS('Choose a resource'!$B$11:$I$11,I15:P15,"&gt;=1")=0,"",ROUND(100*SUMPRODUCT(I15:P15,'Choose a resource'!$B$11:$I$11)/(5*SUMIFS('Choose a resource'!$B$11:$I$11,I15:P15,"&gt;=1")),1))</x:f>
        <x:v>91</x:v>
      </x:c>
      <x:c r="G15" s="23" t="str">
        <x:f>IF(F15="","no applicable weights",IF(E15=0,"outside scenario",IF(AND('Choose a resource'!$B$4&lt;&gt;"All",C15&lt;&gt;'Choose a resource'!$B$4),"other role",IF(R15="dependency_scope_review","scope review",IF(AND(D15="watch",'Choose a resource'!$B$6&lt;&gt;"Yes"),"watch excluded","candidate")))))</x:f>
        <x:v>other role</x:v>
      </x:c>
      <x:c r="H15" s="23" t="str">
        <x:f>IF(G15&lt;&gt;"candidate","",1+COUNTIFS($C$2:$C$63,C15,$G$2:$G$63,"candidate",$E$2:$E$63,"&gt;"&amp;E15)+COUNTIFS($C$2:$C$63,C15,$G$2:$G$63,"candidate",$E$2:$E$63,E15,$F$2:$F$63,"&gt;"&amp;F15))</x:f>
      </x:c>
      <x:c r="I15" s="23" t="n">
        <x:v>4</x:v>
      </x:c>
      <x:c r="J15" s="23" t="n">
        <x:v>5</x:v>
      </x:c>
      <x:c r="K15" s="23" t="n">
        <x:v>5</x:v>
      </x:c>
      <x:c r="L15" s="23" t="n">
        <x:v>4</x:v>
      </x:c>
      <x:c r="M15" s="23" t="n">
        <x:v>5</x:v>
      </x:c>
      <x:c r="N15" s="23" t="n">
        <x:v>5</x:v>
      </x:c>
      <x:c r="O15" s="23" t="n">
        <x:v>5</x:v>
      </x:c>
      <x:c r="P15" s="23" t="n">
        <x:v>3</x:v>
      </x:c>
      <x:c r="Q15" s="3" t="str">
        <x:v>medium</x:v>
      </x:c>
      <x:c r="R15" s="3" t="str">
        <x:v>qualified_named_core_scope</x:v>
      </x:c>
      <x:c r="S15" s="3" t="str">
        <x:v>documented</x:v>
      </x:c>
      <x:c r="T15" s="3" t="str">
        <x:v>Prefer for complex keyboard models, internationalised dates, comboboxes and accessibility-first custom controls.</x:v>
      </x:c>
      <x:c r="U15" s="3" t="str">
        <x:v>It is headless; budget styling, composition and assistive-technology testing.</x:v>
      </x:c>
      <x:c r="V15" s="3" t="str">
        <x:v>Base UI; Radix Primitives; Ark UI</x:v>
      </x:c>
      <x:c r="W15" s="3" t="str">
        <x:v>https://react-aria.adobe.com/DateRangePicker</x:v>
      </x:c>
      <x:c r="X15" s="3" t="str">
        <x:v>Editorial: range-calendar interaction and locale-aware input example; bring a theme for branded output.</x:v>
      </x:c>
      <x:c r="Y15" s="3" t="str">
        <x:v>https://react-aria.adobe.com/</x:v>
      </x:c>
      <x:c r="Z15" s="3" t="str">
        <x:v>Integration documentation; this link is guidance, not an additional live demonstration.</x:v>
      </x:c>
      <x:c r="AA15" s="3" t="n">
        <x:v>2</x:v>
      </x:c>
      <x:c r="AB15" s="3" t="n">
        <x:v>2</x:v>
      </x:c>
      <x:c r="AC15" s="3" t="n">
        <x:v>2</x:v>
      </x:c>
      <x:c r="AD15" s="3" t="n">
        <x:v>2</x:v>
      </x:c>
      <x:c r="AE15" s="3" t="n">
        <x:v>2</x:v>
      </x:c>
      <x:c r="AF15" s="3" t="n">
        <x:v>2</x:v>
      </x:c>
      <x:c r="AG15" s="3" t="n">
        <x:v>2</x:v>
      </x:c>
      <x:c r="AH15" s="3" t="n">
        <x:v>2</x:v>
      </x:c>
      <x:c r="AI15" s="3" t="n">
        <x:v>2</x:v>
      </x:c>
      <x:c r="AJ15" s="3" t="n">
        <x:v>2</x:v>
      </x:c>
    </x:row>
    <x:row r="16" ht="15" hidden="0" customHeight="1">
      <x:c r="A16" s="3" t="str">
        <x:v>react-flow</x:v>
      </x:c>
      <x:c r="B16" s="3" t="str">
        <x:v>React Flow</x:v>
      </x:c>
      <x:c r="C16" s="3" t="str">
        <x:v>Diagram editor</x:v>
      </x:c>
      <x:c r="D16" s="3" t="str">
        <x:v>core</x:v>
      </x:c>
      <x:c r="E16" s="23" t="n">
        <x:f>INDEX(AA16:AJ16,1,MATCH('Choose a resource'!$B$3,$AA$1:$AJ$1,0))</x:f>
        <x:v>0</x:v>
      </x:c>
      <x:c r="F16" s="22" t="n">
        <x:f>IF(SUMIFS('Choose a resource'!$B$11:$I$11,I16:P16,"&gt;=1")=0,"",ROUND(100*SUMPRODUCT(I16:P16,'Choose a resource'!$B$11:$I$11)/(5*SUMIFS('Choose a resource'!$B$11:$I$11,I16:P16,"&gt;=1")),1))</x:f>
        <x:v>93</x:v>
      </x:c>
      <x:c r="G16" s="23" t="str">
        <x:f>IF(F16="","no applicable weights",IF(E16=0,"outside scenario",IF(AND('Choose a resource'!$B$4&lt;&gt;"All",C16&lt;&gt;'Choose a resource'!$B$4),"other role",IF(R16="dependency_scope_review","scope review",IF(AND(D16="watch",'Choose a resource'!$B$6&lt;&gt;"Yes"),"watch excluded","candidate")))))</x:f>
        <x:v>outside scenario</x:v>
      </x:c>
      <x:c r="H16" s="23" t="str">
        <x:f>IF(G16&lt;&gt;"candidate","",1+COUNTIFS($C$2:$C$63,C16,$G$2:$G$63,"candidate",$E$2:$E$63,"&gt;"&amp;E16)+COUNTIFS($C$2:$C$63,C16,$G$2:$G$63,"candidate",$E$2:$E$63,E16,$F$2:$F$63,"&gt;"&amp;F16))</x:f>
      </x:c>
      <x:c r="I16" s="23" t="n">
        <x:v>5</x:v>
      </x:c>
      <x:c r="J16" s="23" t="n">
        <x:v>5</x:v>
      </x:c>
      <x:c r="K16" s="23" t="n">
        <x:v>4</x:v>
      </x:c>
      <x:c r="L16" s="23" t="n">
        <x:v>4</x:v>
      </x:c>
      <x:c r="M16" s="23" t="n">
        <x:v>5</x:v>
      </x:c>
      <x:c r="N16" s="23" t="n">
        <x:v>5</x:v>
      </x:c>
      <x:c r="O16" s="23" t="n">
        <x:v>5</x:v>
      </x:c>
      <x:c r="P16" s="23" t="n">
        <x:v>4</x:v>
      </x:c>
      <x:c r="Q16" s="3" t="str">
        <x:v>medium</x:v>
      </x:c>
      <x:c r="R16" s="3" t="str">
        <x:v>qualified_named_core_scope</x:v>
      </x:c>
      <x:c r="S16" s="3" t="str">
        <x:v>documented</x:v>
      </x:c>
      <x:c r="T16" s="3" t="str">
        <x:v>Choose for editable node-and-port diagrams, workflows and graph-like application editors.</x:v>
      </x:c>
      <x:c r="U16" s="3" t="str">
        <x:v>Choose Sigma or G6 for large exploratory networks and force/layout-driven analysis.</x:v>
      </x:c>
      <x:c r="V16" s="3" t="str">
        <x:v>Sigma.js + Graphology; AntV G6</x:v>
      </x:c>
      <x:c r="W16" s="3" t="str">
        <x:v>https://reactflow.dev/examples/interaction/connection-events</x:v>
      </x:c>
      <x:c r="X16" s="3" t="str">
        <x:v>Official themed node/connection examples and AI workflow templates; editorial potential, no new benchmark.</x:v>
      </x:c>
      <x:c r="Y16" s="3" t="str">
        <x:v>https://reactflow.dev/</x:v>
      </x:c>
      <x:c r="Z16" s="3" t="str">
        <x:v>Integration documentation; this link is guidance, not an additional live demonstration.</x:v>
      </x:c>
      <x:c r="AA16" s="3" t="n">
        <x:v>0</x:v>
      </x:c>
      <x:c r="AB16" s="3" t="n">
        <x:v>0</x:v>
      </x:c>
      <x:c r="AC16" s="3" t="n">
        <x:v>0</x:v>
      </x:c>
      <x:c r="AD16" s="3" t="n">
        <x:v>0</x:v>
      </x:c>
      <x:c r="AE16" s="3" t="n">
        <x:v>0</x:v>
      </x:c>
      <x:c r="AF16" s="3" t="n">
        <x:v>0</x:v>
      </x:c>
      <x:c r="AG16" s="3" t="n">
        <x:v>2</x:v>
      </x:c>
      <x:c r="AH16" s="3" t="n">
        <x:v>0</x:v>
      </x:c>
      <x:c r="AI16" s="3" t="n">
        <x:v>2</x:v>
      </x:c>
      <x:c r="AJ16" s="3" t="n">
        <x:v>2</x:v>
      </x:c>
    </x:row>
    <x:row r="17" ht="15" hidden="0" customHeight="1">
      <x:c r="A17" s="3" t="str">
        <x:v>react_hook_form</x:v>
      </x:c>
      <x:c r="B17" s="3" t="str">
        <x:v>React Hook Form</x:v>
      </x:c>
      <x:c r="C17" s="3" t="str">
        <x:v>Form state</x:v>
      </x:c>
      <x:c r="D17" s="3" t="str">
        <x:v>core</x:v>
      </x:c>
      <x:c r="E17" s="23" t="n">
        <x:f>INDEX(AA17:AJ17,1,MATCH('Choose a resource'!$B$3,$AA$1:$AJ$1,0))</x:f>
        <x:v>2</x:v>
      </x:c>
      <x:c r="F17" s="22" t="n">
        <x:f>IF(SUMIFS('Choose a resource'!$B$11:$I$11,I17:P17,"&gt;=1")=0,"",ROUND(100*SUMPRODUCT(I17:P17,'Choose a resource'!$B$11:$I$11)/(5*SUMIFS('Choose a resource'!$B$11:$I$11,I17:P17,"&gt;=1")),1))</x:f>
        <x:v>83.8</x:v>
      </x:c>
      <x:c r="G17" s="23" t="str">
        <x:f>IF(F17="","no applicable weights",IF(E17=0,"outside scenario",IF(AND('Choose a resource'!$B$4&lt;&gt;"All",C17&lt;&gt;'Choose a resource'!$B$4),"other role",IF(R17="dependency_scope_review","scope review",IF(AND(D17="watch",'Choose a resource'!$B$6&lt;&gt;"Yes"),"watch excluded","candidate")))))</x:f>
        <x:v>other role</x:v>
      </x:c>
      <x:c r="H17" s="23" t="str">
        <x:f>IF(G17&lt;&gt;"candidate","",1+COUNTIFS($C$2:$C$63,C17,$G$2:$G$63,"candidate",$E$2:$E$63,"&gt;"&amp;E17)+COUNTIFS($C$2:$C$63,C17,$G$2:$G$63,"candidate",$E$2:$E$63,E17,$F$2:$F$63,"&gt;"&amp;F17))</x:f>
      </x:c>
      <x:c r="I17" s="23"/>
      <x:c r="J17" s="23" t="n">
        <x:v>4</x:v>
      </x:c>
      <x:c r="K17" s="23" t="n">
        <x:v>3</x:v>
      </x:c>
      <x:c r="L17" s="23" t="n">
        <x:v>4</x:v>
      </x:c>
      <x:c r="M17" s="23" t="n">
        <x:v>5</x:v>
      </x:c>
      <x:c r="N17" s="23" t="n">
        <x:v>5</x:v>
      </x:c>
      <x:c r="O17" s="23" t="n">
        <x:v>5</x:v>
      </x:c>
      <x:c r="P17" s="23" t="n">
        <x:v>4</x:v>
      </x:c>
      <x:c r="Q17" s="3" t="str">
        <x:v>medium</x:v>
      </x:c>
      <x:c r="R17" s="3" t="str">
        <x:v>qualified_named_core_scope</x:v>
      </x:c>
      <x:c r="S17" s="3" t="str">
        <x:v>documented</x:v>
      </x:c>
      <x:c r="T17" s="3" t="str">
        <x:v>Use for form registration, validation state and reducing unnecessary input rerenders.</x:v>
      </x:c>
      <x:c r="U17" s="3" t="str">
        <x:v>It does not choose error copy, focus recovery or accessible field markup for you.</x:v>
      </x:c>
      <x:c r="V17" s="3" t="str">
        <x:v>React Aria Components; Base UI</x:v>
      </x:c>
      <x:c r="W17" s="3" t="str">
        <x:v>https://react-hook-form.com/advanced-usage</x:v>
      </x:c>
      <x:c r="X17" s="3" t="str">
        <x:v>Editorial: practical validation examples; form appearance comes from the UI kit.</x:v>
      </x:c>
      <x:c r="Y17" s="3" t="str">
        <x:v>https://react-hook-form.com/</x:v>
      </x:c>
      <x:c r="Z17" s="3" t="str">
        <x:v>Integration documentation; this link is guidance, not an additional live demonstration.</x:v>
      </x:c>
      <x:c r="AA17" s="3" t="n">
        <x:v>2</x:v>
      </x:c>
      <x:c r="AB17" s="3" t="n">
        <x:v>2</x:v>
      </x:c>
      <x:c r="AC17" s="3" t="n">
        <x:v>2</x:v>
      </x:c>
      <x:c r="AD17" s="3" t="n">
        <x:v>2</x:v>
      </x:c>
      <x:c r="AE17" s="3" t="n">
        <x:v>2</x:v>
      </x:c>
      <x:c r="AF17" s="3" t="n">
        <x:v>2</x:v>
      </x:c>
      <x:c r="AG17" s="3" t="n">
        <x:v>2</x:v>
      </x:c>
      <x:c r="AH17" s="3" t="n">
        <x:v>2</x:v>
      </x:c>
      <x:c r="AI17" s="3" t="n">
        <x:v>2</x:v>
      </x:c>
      <x:c r="AJ17" s="3" t="n">
        <x:v>2</x:v>
      </x:c>
    </x:row>
    <x:row r="18" ht="24" hidden="0" customHeight="1">
      <x:c r="A18" s="3" t="str">
        <x:v>react-three-fiber</x:v>
      </x:c>
      <x:c r="B18" s="3" t="str">
        <x:v>React Three Fiber</x:v>
      </x:c>
      <x:c r="C18" s="3" t="str">
        <x:v>3D scene engine</x:v>
      </x:c>
      <x:c r="D18" s="3" t="str">
        <x:v>core</x:v>
      </x:c>
      <x:c r="E18" s="23" t="n">
        <x:f>INDEX(AA18:AJ18,1,MATCH('Choose a resource'!$B$3,$AA$1:$AJ$1,0))</x:f>
        <x:v>0</x:v>
      </x:c>
      <x:c r="F18" s="22" t="n">
        <x:f>IF(SUMIFS('Choose a resource'!$B$11:$I$11,I18:P18,"&gt;=1")=0,"",ROUND(100*SUMPRODUCT(I18:P18,'Choose a resource'!$B$11:$I$11)/(5*SUMIFS('Choose a resource'!$B$11:$I$11,I18:P18,"&gt;=1")),1))</x:f>
        <x:v>82</x:v>
      </x:c>
      <x:c r="G18" s="23" t="str">
        <x:f>IF(F18="","no applicable weights",IF(E18=0,"outside scenario",IF(AND('Choose a resource'!$B$4&lt;&gt;"All",C18&lt;&gt;'Choose a resource'!$B$4),"other role",IF(R18="dependency_scope_review","scope review",IF(AND(D18="watch",'Choose a resource'!$B$6&lt;&gt;"Yes"),"watch excluded","candidate")))))</x:f>
        <x:v>outside scenario</x:v>
      </x:c>
      <x:c r="H18" s="23" t="str">
        <x:f>IF(G18&lt;&gt;"candidate","",1+COUNTIFS($C$2:$C$63,C18,$G$2:$G$63,"candidate",$E$2:$E$63,"&gt;"&amp;E18)+COUNTIFS($C$2:$C$63,C18,$G$2:$G$63,"candidate",$E$2:$E$63,E18,$F$2:$F$63,"&gt;"&amp;F18))</x:f>
      </x:c>
      <x:c r="I18" s="23" t="n">
        <x:v>5</x:v>
      </x:c>
      <x:c r="J18" s="23" t="n">
        <x:v>5</x:v>
      </x:c>
      <x:c r="K18" s="23" t="n">
        <x:v>1</x:v>
      </x:c>
      <x:c r="L18" s="23" t="n">
        <x:v>4</x:v>
      </x:c>
      <x:c r="M18" s="23" t="n">
        <x:v>5</x:v>
      </x:c>
      <x:c r="N18" s="23" t="n">
        <x:v>5</x:v>
      </x:c>
      <x:c r="O18" s="23" t="n">
        <x:v>5</x:v>
      </x:c>
      <x:c r="P18" s="23" t="n">
        <x:v>2</x:v>
      </x:c>
      <x:c r="Q18" s="3" t="str">
        <x:v>high</x:v>
      </x:c>
      <x:c r="R18" s="3" t="str">
        <x:v>qualified_named_core_scope</x:v>
      </x:c>
      <x:c r="S18" s="3" t="str">
        <x:v>documented</x:v>
      </x:c>
      <x:c r="T18" s="3" t="str">
        <x:v>Choose when a configurator needs custom scene composition, materials, controls or interactions in React.</x:v>
      </x:c>
      <x:c r="U18" s="3" t="str">
        <x:v>Prefer model-viewer for one inspectable product; avoid 3D when static media answers the task.</x:v>
      </x:c>
      <x:c r="V18" s="3" t="str">
        <x:v>&lt;model-viewer&gt;</x:v>
      </x:c>
      <x:c r="W18" s="3" t="str">
        <x:v>https://r3f.docs.pmnd.rs/getting-started/examples</x:v>
      </x:c>
      <x:c r="X18" s="3" t="str">
        <x:v>Official showcase includes T-shirt/configurator, glass/transmission and lighting scenes; editorial potential, preserving handbook benchmark separately.</x:v>
      </x:c>
      <x:c r="Y18" s="3" t="str">
        <x:v>https://blog.maximeheckel.com/posts/shading-motion/</x:v>
      </x:c>
      <x:c r="Z18" s="3" t="str">
        <x:v>Shading Motion (18 August2026): interactive frame differencing, decaying trails, velocity effects and motion blur using WebGPU compute shaders.</x:v>
      </x:c>
      <x:c r="AA18" s="3" t="n">
        <x:v>0</x:v>
      </x:c>
      <x:c r="AB18" s="3" t="n">
        <x:v>0</x:v>
      </x:c>
      <x:c r="AC18" s="3" t="n">
        <x:v>0</x:v>
      </x:c>
      <x:c r="AD18" s="3" t="n">
        <x:v>0</x:v>
      </x:c>
      <x:c r="AE18" s="3" t="n">
        <x:v>2</x:v>
      </x:c>
      <x:c r="AF18" s="3" t="n">
        <x:v>3</x:v>
      </x:c>
      <x:c r="AG18" s="3" t="n">
        <x:v>0</x:v>
      </x:c>
      <x:c r="AH18" s="3" t="n">
        <x:v>0</x:v>
      </x:c>
      <x:c r="AI18" s="3" t="n">
        <x:v>0</x:v>
      </x:c>
      <x:c r="AJ18" s="3" t="n">
        <x:v>0</x:v>
      </x:c>
    </x:row>
    <x:row r="19" ht="15" hidden="0" customHeight="1">
      <x:c r="A19" s="3" t="str">
        <x:v>recharts</x:v>
      </x:c>
      <x:c r="B19" s="3" t="str">
        <x:v>Recharts</x:v>
      </x:c>
      <x:c r="C19" s="3" t="str">
        <x:v>Chart renderer</x:v>
      </x:c>
      <x:c r="D19" s="3" t="str">
        <x:v>core</x:v>
      </x:c>
      <x:c r="E19" s="23" t="n">
        <x:f>INDEX(AA19:AJ19,1,MATCH('Choose a resource'!$B$3,$AA$1:$AJ$1,0))</x:f>
        <x:v>3</x:v>
      </x:c>
      <x:c r="F19" s="22" t="n">
        <x:f>IF(SUMIFS('Choose a resource'!$B$11:$I$11,I19:P19,"&gt;=1")=0,"",ROUND(100*SUMPRODUCT(I19:P19,'Choose a resource'!$B$11:$I$11)/(5*SUMIFS('Choose a resource'!$B$11:$I$11,I19:P19,"&gt;=1")),1))</x:f>
        <x:v>84</x:v>
      </x:c>
      <x:c r="G19" s="23" t="str">
        <x:f>IF(F19="","no applicable weights",IF(E19=0,"outside scenario",IF(AND('Choose a resource'!$B$4&lt;&gt;"All",C19&lt;&gt;'Choose a resource'!$B$4),"other role",IF(R19="dependency_scope_review","scope review",IF(AND(D19="watch",'Choose a resource'!$B$6&lt;&gt;"Yes"),"watch excluded","candidate")))))</x:f>
        <x:v>candidate</x:v>
      </x:c>
      <x:c r="H19" s="23" t="n">
        <x:f>IF(G19&lt;&gt;"candidate","",1+COUNTIFS($C$2:$C$63,C19,$G$2:$G$63,"candidate",$E$2:$E$63,"&gt;"&amp;E19)+COUNTIFS($C$2:$C$63,C19,$G$2:$G$63,"candidate",$E$2:$E$63,E19,$F$2:$F$63,"&gt;"&amp;F19))</x:f>
        <x:v>1</x:v>
      </x:c>
      <x:c r="I19" s="23" t="n">
        <x:v>4</x:v>
      </x:c>
      <x:c r="J19" s="23" t="n">
        <x:v>4</x:v>
      </x:c>
      <x:c r="K19" s="23" t="n">
        <x:v>4</x:v>
      </x:c>
      <x:c r="L19" s="23" t="n">
        <x:v>3</x:v>
      </x:c>
      <x:c r="M19" s="23" t="n">
        <x:v>5</x:v>
      </x:c>
      <x:c r="N19" s="23" t="n">
        <x:v>5</x:v>
      </x:c>
      <x:c r="O19" s="23" t="n">
        <x:v>5</x:v>
      </x:c>
      <x:c r="P19" s="23" t="n">
        <x:v>5</x:v>
      </x:c>
      <x:c r="Q19" s="3" t="str">
        <x:v>low</x:v>
      </x:c>
      <x:c r="R19" s="3" t="str">
        <x:v>qualified_named_core_scope</x:v>
      </x:c>
      <x:c r="S19" s="3" t="str">
        <x:v>documented</x:v>
      </x:c>
      <x:c r="T19" s="3" t="str">
        <x:v>Default to it for ordinary React KPI charts with a modest number of visible marks and a shared design system.</x:v>
      </x:c>
      <x:c r="U19" s="3" t="str">
        <x:v>Use ECharts for dense analytical interactions and Lightweight Charts for specialised trading views.</x:v>
      </x:c>
      <x:c r="V19" s="3" t="str">
        <x:v>Apache ECharts; Lightweight Charts</x:v>
      </x:c>
      <x:c r="W19" s="3" t="str">
        <x:v>https://recharts.github.io/en-US/examples/</x:v>
      </x:c>
      <x:c r="X19" s="3" t="str">
        <x:v>Editorial potential from official synchronized, gradient-area and custom-tooltip examples; existing default retained.</x:v>
      </x:c>
      <x:c r="Y19" s="3" t="str">
        <x:v>https://recharts.github.io/en-US/guide/</x:v>
      </x:c>
      <x:c r="Z19" s="3" t="str">
        <x:v>Integration documentation; this link is guidance, not an additional live demonstration.</x:v>
      </x:c>
      <x:c r="AA19" s="3" t="n">
        <x:v>3</x:v>
      </x:c>
      <x:c r="AB19" s="3" t="n">
        <x:v>3</x:v>
      </x:c>
      <x:c r="AC19" s="3" t="n">
        <x:v>0</x:v>
      </x:c>
      <x:c r="AD19" s="3" t="n">
        <x:v>0</x:v>
      </x:c>
      <x:c r="AE19" s="3" t="n">
        <x:v>0</x:v>
      </x:c>
      <x:c r="AF19" s="3" t="n">
        <x:v>0</x:v>
      </x:c>
      <x:c r="AG19" s="3" t="n">
        <x:v>0</x:v>
      </x:c>
      <x:c r="AH19" s="3" t="n">
        <x:v>0</x:v>
      </x:c>
      <x:c r="AI19" s="3" t="n">
        <x:v>0</x:v>
      </x:c>
      <x:c r="AJ19" s="3" t="n">
        <x:v>0</x:v>
      </x:c>
    </x:row>
    <x:row r="20" ht="24" hidden="0" customHeight="1">
      <x:c r="A20" s="3" t="str">
        <x:v>shadcn_ui</x:v>
      </x:c>
      <x:c r="B20" s="3" t="str">
        <x:v>shadcn/ui</x:v>
      </x:c>
      <x:c r="C20" s="3" t="str">
        <x:v>Styled component kit</x:v>
      </x:c>
      <x:c r="D20" s="3" t="str">
        <x:v>core</x:v>
      </x:c>
      <x:c r="E20" s="23" t="n">
        <x:f>INDEX(AA20:AJ20,1,MATCH('Choose a resource'!$B$3,$AA$1:$AJ$1,0))</x:f>
        <x:v>2</x:v>
      </x:c>
      <x:c r="F20" s="22" t="n">
        <x:f>IF(SUMIFS('Choose a resource'!$B$11:$I$11,I20:P20,"&gt;=1")=0,"",ROUND(100*SUMPRODUCT(I20:P20,'Choose a resource'!$B$11:$I$11)/(5*SUMIFS('Choose a resource'!$B$11:$I$11,I20:P20,"&gt;=1")),1))</x:f>
        <x:v>90</x:v>
      </x:c>
      <x:c r="G20" s="23" t="str">
        <x:f>IF(F20="","no applicable weights",IF(E20=0,"outside scenario",IF(AND('Choose a resource'!$B$4&lt;&gt;"All",C20&lt;&gt;'Choose a resource'!$B$4),"other role",IF(R20="dependency_scope_review","scope review",IF(AND(D20="watch",'Choose a resource'!$B$6&lt;&gt;"Yes"),"watch excluded","candidate")))))</x:f>
        <x:v>other role</x:v>
      </x:c>
      <x:c r="H20" s="23" t="str">
        <x:f>IF(G20&lt;&gt;"candidate","",1+COUNTIFS($C$2:$C$63,C20,$G$2:$G$63,"candidate",$E$2:$E$63,"&gt;"&amp;E20)+COUNTIFS($C$2:$C$63,C20,$G$2:$G$63,"candidate",$E$2:$E$63,E20,$F$2:$F$63,"&gt;"&amp;F20))</x:f>
      </x:c>
      <x:c r="I20" s="23" t="n">
        <x:v>5</x:v>
      </x:c>
      <x:c r="J20" s="23" t="n">
        <x:v>4</x:v>
      </x:c>
      <x:c r="K20" s="23" t="n">
        <x:v>4</x:v>
      </x:c>
      <x:c r="L20" s="23" t="n">
        <x:v>4</x:v>
      </x:c>
      <x:c r="M20" s="23" t="n">
        <x:v>5</x:v>
      </x:c>
      <x:c r="N20" s="23" t="n">
        <x:v>5</x:v>
      </x:c>
      <x:c r="O20" s="23" t="n">
        <x:v>5</x:v>
      </x:c>
      <x:c r="P20" s="23" t="n">
        <x:v>4</x:v>
      </x:c>
      <x:c r="Q20" s="3" t="str">
        <x:v>medium</x:v>
      </x:c>
      <x:c r="R20" s="3" t="str">
        <x:v>qualified_named_core_scope</x:v>
      </x:c>
      <x:c r="S20" s="3" t="str">
        <x:v>documented</x:v>
      </x:c>
      <x:c r="T20" s="3" t="str">
        <x:v>Choose editable component code when a fast polished starting system and ownership of implementation matter.</x:v>
      </x:c>
      <x:c r="U20" s="3" t="str">
        <x:v>Copied code needs upgrades; choose Mantine when a maintained packaged kit is preferable.</x:v>
      </x:c>
      <x:c r="V20" s="3" t="str">
        <x:v>Mantine; Base UI</x:v>
      </x:c>
      <x:c r="W20" s="3" t="str">
        <x:v>https://ui.shadcn.com/examples/dashboard</x:v>
      </x:c>
      <x:c r="X20" s="3" t="str">
        <x:v>Editorial: sidebar, KPI cards, date controls and document table form a cohesive desktop dashboard.</x:v>
      </x:c>
      <x:c r="Y20" s="3" t="str">
        <x:v>https://rauno.me/craft</x:v>
      </x:c>
      <x:c r="Z20" s="3" t="str">
        <x:v>Toolbar Morph, Spatial Tooltip and DD System craft studies; recent June/Aug2026 entries coexist with older examples.</x:v>
      </x:c>
      <x:c r="AA20" s="3" t="n">
        <x:v>2</x:v>
      </x:c>
      <x:c r="AB20" s="3" t="n">
        <x:v>2</x:v>
      </x:c>
      <x:c r="AC20" s="3" t="n">
        <x:v>2</x:v>
      </x:c>
      <x:c r="AD20" s="3" t="n">
        <x:v>2</x:v>
      </x:c>
      <x:c r="AE20" s="3" t="n">
        <x:v>2</x:v>
      </x:c>
      <x:c r="AF20" s="3" t="n">
        <x:v>2</x:v>
      </x:c>
      <x:c r="AG20" s="3" t="n">
        <x:v>2</x:v>
      </x:c>
      <x:c r="AH20" s="3" t="n">
        <x:v>2</x:v>
      </x:c>
      <x:c r="AI20" s="3" t="n">
        <x:v>2</x:v>
      </x:c>
      <x:c r="AJ20" s="3" t="n">
        <x:v>2</x:v>
      </x:c>
    </x:row>
    <x:row r="21" ht="24" hidden="0" customHeight="1">
      <x:c r="A21" s="3" t="str">
        <x:v>sigma-js</x:v>
      </x:c>
      <x:c r="B21" s="3" t="str">
        <x:v>Sigma.js + Graphology</x:v>
      </x:c>
      <x:c r="C21" s="3" t="str">
        <x:v>Network renderer</x:v>
      </x:c>
      <x:c r="D21" s="3" t="str">
        <x:v>core</x:v>
      </x:c>
      <x:c r="E21" s="23" t="n">
        <x:f>INDEX(AA21:AJ21,1,MATCH('Choose a resource'!$B$3,$AA$1:$AJ$1,0))</x:f>
        <x:v>0</x:v>
      </x:c>
      <x:c r="F21" s="22" t="n">
        <x:f>IF(SUMIFS('Choose a resource'!$B$11:$I$11,I21:P21,"&gt;=1")=0,"",ROUND(100*SUMPRODUCT(I21:P21,'Choose a resource'!$B$11:$I$11)/(5*SUMIFS('Choose a resource'!$B$11:$I$11,I21:P21,"&gt;=1")),1))</x:f>
        <x:v>73</x:v>
      </x:c>
      <x:c r="G21" s="23" t="str">
        <x:f>IF(F21="","no applicable weights",IF(E21=0,"outside scenario",IF(AND('Choose a resource'!$B$4&lt;&gt;"All",C21&lt;&gt;'Choose a resource'!$B$4),"other role",IF(R21="dependency_scope_review","scope review",IF(AND(D21="watch",'Choose a resource'!$B$6&lt;&gt;"Yes"),"watch excluded","candidate")))))</x:f>
        <x:v>outside scenario</x:v>
      </x:c>
      <x:c r="H21" s="23" t="str">
        <x:f>IF(G21&lt;&gt;"candidate","",1+COUNTIFS($C$2:$C$63,C21,$G$2:$G$63,"candidate",$E$2:$E$63,"&gt;"&amp;E21)+COUNTIFS($C$2:$C$63,C21,$G$2:$G$63,"candidate",$E$2:$E$63,E21,$F$2:$F$63,"&gt;"&amp;F21))</x:f>
      </x:c>
      <x:c r="I21" s="23" t="n">
        <x:v>4</x:v>
      </x:c>
      <x:c r="J21" s="23" t="n">
        <x:v>5</x:v>
      </x:c>
      <x:c r="K21" s="23" t="n">
        <x:v>1</x:v>
      </x:c>
      <x:c r="L21" s="23" t="n">
        <x:v>5</x:v>
      </x:c>
      <x:c r="M21" s="23" t="n">
        <x:v>3</x:v>
      </x:c>
      <x:c r="N21" s="23" t="n">
        <x:v>4</x:v>
      </x:c>
      <x:c r="O21" s="23" t="n">
        <x:v>4</x:v>
      </x:c>
      <x:c r="P21" s="23" t="n">
        <x:v>3</x:v>
      </x:c>
      <x:c r="Q21" s="3" t="str">
        <x:v>medium</x:v>
      </x:c>
      <x:c r="R21" s="3" t="str">
        <x:v>qualified_named_core_scope</x:v>
      </x:c>
      <x:c r="S21" s="3" t="str">
        <x:v>documented</x:v>
      </x:c>
      <x:c r="T21" s="3" t="str">
        <x:v>Choose for interactive network exploration where many nodes/edges and neighbourhood isolation matter.</x:v>
      </x:c>
      <x:c r="U21" s="3" t="str">
        <x:v>Do not use it as a substitute for a node-based workflow editor; layout and accessibility need separate work.</x:v>
      </x:c>
      <x:c r="V21" s="3" t="str">
        <x:v>AntV G6; React Flow</x:v>
      </x:c>
      <x:c r="W21" s="3" t="str">
        <x:v>https://www.sigmajs.org/embed/homepage/demo/</x:v>
      </x:c>
      <x:c r="X21" s="3" t="str">
        <x:v>Live browser visual review 2026-10-17: ~9,000 AI-paper network, legend and search; dense overview needs focus/filtering to avoid a hairball.</x:v>
      </x:c>
      <x:c r="Y21" s="3" t="str">
        <x:v>https://www.sigmajs.org/get-started/quickstart/</x:v>
      </x:c>
      <x:c r="Z21" s="3" t="str">
        <x:v>Integration documentation; this link is guidance, not an additional live demonstration.</x:v>
      </x:c>
      <x:c r="AA21" s="3" t="n">
        <x:v>0</x:v>
      </x:c>
      <x:c r="AB21" s="3" t="n">
        <x:v>0</x:v>
      </x:c>
      <x:c r="AC21" s="3" t="n">
        <x:v>0</x:v>
      </x:c>
      <x:c r="AD21" s="3" t="n">
        <x:v>0</x:v>
      </x:c>
      <x:c r="AE21" s="3" t="n">
        <x:v>0</x:v>
      </x:c>
      <x:c r="AF21" s="3" t="n">
        <x:v>0</x:v>
      </x:c>
      <x:c r="AG21" s="3" t="n">
        <x:v>0</x:v>
      </x:c>
      <x:c r="AH21" s="3" t="n">
        <x:v>0</x:v>
      </x:c>
      <x:c r="AI21" s="3" t="n">
        <x:v>3</x:v>
      </x:c>
      <x:c r="AJ21" s="3" t="n">
        <x:v>0</x:v>
      </x:c>
    </x:row>
    <x:row r="22" ht="15" hidden="0" customHeight="1">
      <x:c r="A22" s="3" t="str">
        <x:v>sonner</x:v>
      </x:c>
      <x:c r="B22" s="3" t="str">
        <x:v>Sonner</x:v>
      </x:c>
      <x:c r="C22" s="3" t="str">
        <x:v>Transient feedback</x:v>
      </x:c>
      <x:c r="D22" s="3" t="str">
        <x:v>core</x:v>
      </x:c>
      <x:c r="E22" s="23" t="n">
        <x:f>INDEX(AA22:AJ22,1,MATCH('Choose a resource'!$B$3,$AA$1:$AJ$1,0))</x:f>
        <x:v>2</x:v>
      </x:c>
      <x:c r="F22" s="22" t="n">
        <x:f>IF(SUMIFS('Choose a resource'!$B$11:$I$11,I22:P22,"&gt;=1")=0,"",ROUND(100*SUMPRODUCT(I22:P22,'Choose a resource'!$B$11:$I$11)/(5*SUMIFS('Choose a resource'!$B$11:$I$11,I22:P22,"&gt;=1")),1))</x:f>
        <x:v>88</x:v>
      </x:c>
      <x:c r="G22" s="23" t="str">
        <x:f>IF(F22="","no applicable weights",IF(E22=0,"outside scenario",IF(AND('Choose a resource'!$B$4&lt;&gt;"All",C22&lt;&gt;'Choose a resource'!$B$4),"other role",IF(R22="dependency_scope_review","scope review",IF(AND(D22="watch",'Choose a resource'!$B$6&lt;&gt;"Yes"),"watch excluded","candidate")))))</x:f>
        <x:v>other role</x:v>
      </x:c>
      <x:c r="H22" s="23" t="str">
        <x:f>IF(G22&lt;&gt;"candidate","",1+COUNTIFS($C$2:$C$63,C22,$G$2:$G$63,"candidate",$E$2:$E$63,"&gt;"&amp;E22)+COUNTIFS($C$2:$C$63,C22,$G$2:$G$63,"candidate",$E$2:$E$63,E22,$F$2:$F$63,"&gt;"&amp;F22))</x:f>
      </x:c>
      <x:c r="I22" s="23" t="n">
        <x:v>5</x:v>
      </x:c>
      <x:c r="J22" s="23" t="n">
        <x:v>4</x:v>
      </x:c>
      <x:c r="K22" s="23" t="n">
        <x:v>4</x:v>
      </x:c>
      <x:c r="L22" s="23" t="n">
        <x:v>4</x:v>
      </x:c>
      <x:c r="M22" s="23" t="n">
        <x:v>5</x:v>
      </x:c>
      <x:c r="N22" s="23" t="n">
        <x:v>4</x:v>
      </x:c>
      <x:c r="O22" s="23" t="n">
        <x:v>4</x:v>
      </x:c>
      <x:c r="P22" s="23" t="n">
        <x:v>5</x:v>
      </x:c>
      <x:c r="Q22" s="3" t="str">
        <x:v>low</x:v>
      </x:c>
      <x:c r="R22" s="3" t="str">
        <x:v>qualified_named_core_scope</x:v>
      </x:c>
      <x:c r="S22" s="3" t="str">
        <x:v>documented</x:v>
      </x:c>
      <x:c r="T22" s="3" t="str">
        <x:v>Use for brief, dismissible completion/error feedback and undo affordances.</x:v>
      </x:c>
      <x:c r="U22" s="3" t="str">
        <x:v>Do not use transient toasts as a durable notification inbox or as the sole error channel.</x:v>
      </x:c>
      <x:c r="V22" s="3" t="str">
        <x:v>Novu open-core Inbox</x:v>
      </x:c>
      <x:c r="W22" s="3" t="str">
        <x:v>https://sonner.emilkowal.ski/</x:v>
      </x:c>
      <x:c r="X22" s="3" t="str">
        <x:v>Editorial: live promise, action and stacked-notification interactions show exceptional small-motion polish.</x:v>
      </x:c>
      <x:c r="Y22" s="3" t="str">
        <x:v>https://sonner.emilkowal.ski/</x:v>
      </x:c>
      <x:c r="Z22" s="3" t="str">
        <x:v>Integration documentation; this link is guidance, not an additional live demonstration.</x:v>
      </x:c>
      <x:c r="AA22" s="3" t="n">
        <x:v>2</x:v>
      </x:c>
      <x:c r="AB22" s="3" t="n">
        <x:v>2</x:v>
      </x:c>
      <x:c r="AC22" s="3" t="n">
        <x:v>2</x:v>
      </x:c>
      <x:c r="AD22" s="3" t="n">
        <x:v>2</x:v>
      </x:c>
      <x:c r="AE22" s="3" t="n">
        <x:v>2</x:v>
      </x:c>
      <x:c r="AF22" s="3" t="n">
        <x:v>2</x:v>
      </x:c>
      <x:c r="AG22" s="3" t="n">
        <x:v>2</x:v>
      </x:c>
      <x:c r="AH22" s="3" t="n">
        <x:v>2</x:v>
      </x:c>
      <x:c r="AI22" s="3" t="n">
        <x:v>2</x:v>
      </x:c>
      <x:c r="AJ22" s="3" t="n">
        <x:v>2</x:v>
      </x:c>
    </x:row>
    <x:row r="23" ht="24" hidden="0" customHeight="1">
      <x:c r="A23" s="3" t="str">
        <x:v>streamdown</x:v>
      </x:c>
      <x:c r="B23" s="3" t="str">
        <x:v>Streamdown</x:v>
      </x:c>
      <x:c r="C23" s="3" t="str">
        <x:v>Streaming content</x:v>
      </x:c>
      <x:c r="D23" s="3" t="str">
        <x:v>core</x:v>
      </x:c>
      <x:c r="E23" s="23" t="n">
        <x:f>INDEX(AA23:AJ23,1,MATCH('Choose a resource'!$B$3,$AA$1:$AJ$1,0))</x:f>
        <x:v>0</x:v>
      </x:c>
      <x:c r="F23" s="22" t="n">
        <x:f>IF(SUMIFS('Choose a resource'!$B$11:$I$11,I23:P23,"&gt;=1")=0,"",ROUND(100*SUMPRODUCT(I23:P23,'Choose a resource'!$B$11:$I$11)/(5*SUMIFS('Choose a resource'!$B$11:$I$11,I23:P23,"&gt;=1")),1))</x:f>
        <x:v>80</x:v>
      </x:c>
      <x:c r="G23" s="23" t="str">
        <x:f>IF(F23="","no applicable weights",IF(E23=0,"outside scenario",IF(AND('Choose a resource'!$B$4&lt;&gt;"All",C23&lt;&gt;'Choose a resource'!$B$4),"other role",IF(R23="dependency_scope_review","scope review",IF(AND(D23="watch",'Choose a resource'!$B$6&lt;&gt;"Yes"),"watch excluded","candidate")))))</x:f>
        <x:v>outside scenario</x:v>
      </x:c>
      <x:c r="H23" s="23" t="str">
        <x:f>IF(G23&lt;&gt;"candidate","",1+COUNTIFS($C$2:$C$63,C23,$G$2:$G$63,"candidate",$E$2:$E$63,"&gt;"&amp;E23)+COUNTIFS($C$2:$C$63,C23,$G$2:$G$63,"candidate",$E$2:$E$63,E23,$F$2:$F$63,"&gt;"&amp;F23))</x:f>
      </x:c>
      <x:c r="I23" s="23" t="n">
        <x:v>4</x:v>
      </x:c>
      <x:c r="J23" s="23" t="n">
        <x:v>4</x:v>
      </x:c>
      <x:c r="K23" s="23" t="n">
        <x:v>3</x:v>
      </x:c>
      <x:c r="L23" s="23" t="n">
        <x:v>4</x:v>
      </x:c>
      <x:c r="M23" s="23" t="n">
        <x:v>5</x:v>
      </x:c>
      <x:c r="N23" s="23" t="n">
        <x:v>4</x:v>
      </x:c>
      <x:c r="O23" s="23" t="n">
        <x:v>4</x:v>
      </x:c>
      <x:c r="P23" s="23" t="n">
        <x:v>4</x:v>
      </x:c>
      <x:c r="Q23" s="3" t="str">
        <x:v>medium</x:v>
      </x:c>
      <x:c r="R23" s="3" t="str">
        <x:v>qualified_named_core_scope</x:v>
      </x:c>
      <x:c r="S23" s="3" t="str">
        <x:v>documented</x:v>
      </x:c>
      <x:c r="T23" s="3" t="str">
        <x:v>Choose for progressively streamed Markdown, code and structured text in an AI interface.</x:v>
      </x:c>
      <x:c r="U23" s="3" t="str">
        <x:v>Sanitise and constrain content; it does not validate citations, permissions or model output truth.</x:v>
      </x:c>
      <x:c r="V23" s="3" t="str">
        <x:v>assistant-ui</x:v>
      </x:c>
      <x:c r="W23" s="3" t="str">
        <x:v>https://streamdown.ai/playground</x:v>
      </x:c>
      <x:c r="X23" s="3" t="str">
        <x:v>Rendered official playground inspected: clear typography, consistent formatting and multilingual output; no live throughput measurement.</x:v>
      </x:c>
      <x:c r="Y23" s="3" t="str">
        <x:v>https://streamdown.ai/docs</x:v>
      </x:c>
      <x:c r="Z23" s="3" t="str">
        <x:v>Integration documentation; this link is guidance, not an additional live demonstration.</x:v>
      </x:c>
      <x:c r="AA23" s="3" t="n">
        <x:v>0</x:v>
      </x:c>
      <x:c r="AB23" s="3" t="n">
        <x:v>0</x:v>
      </x:c>
      <x:c r="AC23" s="3" t="n">
        <x:v>0</x:v>
      </x:c>
      <x:c r="AD23" s="3" t="n">
        <x:v>0</x:v>
      </x:c>
      <x:c r="AE23" s="3" t="n">
        <x:v>0</x:v>
      </x:c>
      <x:c r="AF23" s="3" t="n">
        <x:v>0</x:v>
      </x:c>
      <x:c r="AG23" s="3" t="n">
        <x:v>0</x:v>
      </x:c>
      <x:c r="AH23" s="3" t="n">
        <x:v>0</x:v>
      </x:c>
      <x:c r="AI23" s="3" t="n">
        <x:v>0</x:v>
      </x:c>
      <x:c r="AJ23" s="3" t="n">
        <x:v>2</x:v>
      </x:c>
    </x:row>
    <x:row r="24" ht="15" hidden="0" customHeight="1">
      <x:c r="A24" s="3" t="str">
        <x:v>style_dictionary</x:v>
      </x:c>
      <x:c r="B24" s="3" t="str">
        <x:v>Style Dictionary</x:v>
      </x:c>
      <x:c r="C24" s="3" t="str">
        <x:v>Token pipeline</x:v>
      </x:c>
      <x:c r="D24" s="3" t="str">
        <x:v>core</x:v>
      </x:c>
      <x:c r="E24" s="23" t="n">
        <x:f>INDEX(AA24:AJ24,1,MATCH('Choose a resource'!$B$3,$AA$1:$AJ$1,0))</x:f>
        <x:v>1</x:v>
      </x:c>
      <x:c r="F24" s="22" t="n">
        <x:f>IF(SUMIFS('Choose a resource'!$B$11:$I$11,I24:P24,"&gt;=1")=0,"",ROUND(100*SUMPRODUCT(I24:P24,'Choose a resource'!$B$11:$I$11)/(5*SUMIFS('Choose a resource'!$B$11:$I$11,I24:P24,"&gt;=1")),1))</x:f>
        <x:v>90</x:v>
      </x:c>
      <x:c r="G24" s="23" t="str">
        <x:f>IF(F24="","no applicable weights",IF(E24=0,"outside scenario",IF(AND('Choose a resource'!$B$4&lt;&gt;"All",C24&lt;&gt;'Choose a resource'!$B$4),"other role",IF(R24="dependency_scope_review","scope review",IF(AND(D24="watch",'Choose a resource'!$B$6&lt;&gt;"Yes"),"watch excluded","candidate")))))</x:f>
        <x:v>other role</x:v>
      </x:c>
      <x:c r="H24" s="23" t="str">
        <x:f>IF(G24&lt;&gt;"candidate","",1+COUNTIFS($C$2:$C$63,C24,$G$2:$G$63,"candidate",$E$2:$E$63,"&gt;"&amp;E24)+COUNTIFS($C$2:$C$63,C24,$G$2:$G$63,"candidate",$E$2:$E$63,E24,$F$2:$F$63,"&gt;"&amp;F24))</x:f>
      </x:c>
      <x:c r="I24" s="23"/>
      <x:c r="J24" s="23"/>
      <x:c r="K24" s="23"/>
      <x:c r="L24" s="23" t="n">
        <x:v>5</x:v>
      </x:c>
      <x:c r="M24" s="23" t="n">
        <x:v>4</x:v>
      </x:c>
      <x:c r="N24" s="23" t="n">
        <x:v>5</x:v>
      </x:c>
      <x:c r="O24" s="23" t="n">
        <x:v>5</x:v>
      </x:c>
      <x:c r="P24" s="23" t="n">
        <x:v>3</x:v>
      </x:c>
      <x:c r="Q24" s="3" t="str">
        <x:v>medium</x:v>
      </x:c>
      <x:c r="R24" s="3" t="str">
        <x:v>qualified_named_core_scope</x:v>
      </x:c>
      <x:c r="S24" s="3" t="str">
        <x:v>documented</x:v>
      </x:c>
      <x:c r="T24" s="3" t="str">
        <x:v>Use when semantic design tokens need a versioned transformation pipeline across outputs or platforms.</x:v>
      </x:c>
      <x:c r="U24" s="3" t="str">
        <x:v>Do not add build infrastructure merely to style one small Tailwind application.</x:v>
      </x:c>
      <x:c r="V24" s="3" t="str">
        <x:v>Tailwind CSS; Open Props</x:v>
      </x:c>
      <x:c r="W24" s="3" t="str">
        <x:v>https://www.style-dictionary-play.dev/</x:v>
      </x:c>
      <x:c r="X24" s="3" t="str">
        <x:v>Editorial: token playground is clear; this infrastructure has no intrinsic rendered UI.</x:v>
      </x:c>
      <x:c r="Y24" s="3" t="str">
        <x:v>https://styledictionary.com/</x:v>
      </x:c>
      <x:c r="Z24" s="3" t="str">
        <x:v>Integration documentation; this link is guidance, not an additional live demonstration.</x:v>
      </x:c>
      <x:c r="AA24" s="3" t="n">
        <x:v>1</x:v>
      </x:c>
      <x:c r="AB24" s="3" t="n">
        <x:v>1</x:v>
      </x:c>
      <x:c r="AC24" s="3" t="n">
        <x:v>1</x:v>
      </x:c>
      <x:c r="AD24" s="3" t="n">
        <x:v>1</x:v>
      </x:c>
      <x:c r="AE24" s="3" t="n">
        <x:v>1</x:v>
      </x:c>
      <x:c r="AF24" s="3" t="n">
        <x:v>1</x:v>
      </x:c>
      <x:c r="AG24" s="3" t="n">
        <x:v>1</x:v>
      </x:c>
      <x:c r="AH24" s="3" t="n">
        <x:v>1</x:v>
      </x:c>
      <x:c r="AI24" s="3" t="n">
        <x:v>1</x:v>
      </x:c>
      <x:c r="AJ24" s="3" t="n">
        <x:v>1</x:v>
      </x:c>
    </x:row>
    <x:row r="25" ht="15" hidden="0" customHeight="1">
      <x:c r="A25" s="3" t="str">
        <x:v>tailwindcss</x:v>
      </x:c>
      <x:c r="B25" s="3" t="str">
        <x:v>Tailwind CSS</x:v>
      </x:c>
      <x:c r="C25" s="3" t="str">
        <x:v>CSS foundation</x:v>
      </x:c>
      <x:c r="D25" s="3" t="str">
        <x:v>core</x:v>
      </x:c>
      <x:c r="E25" s="23" t="n">
        <x:f>INDEX(AA25:AJ25,1,MATCH('Choose a resource'!$B$3,$AA$1:$AJ$1,0))</x:f>
        <x:v>1</x:v>
      </x:c>
      <x:c r="F25" s="22" t="n">
        <x:f>IF(SUMIFS('Choose a resource'!$B$11:$I$11,I25:P25,"&gt;=1")=0,"",ROUND(100*SUMPRODUCT(I25:P25,'Choose a resource'!$B$11:$I$11)/(5*SUMIFS('Choose a resource'!$B$11:$I$11,I25:P25,"&gt;=1")),1))</x:f>
        <x:v>80</x:v>
      </x:c>
      <x:c r="G25" s="23" t="str">
        <x:f>IF(F25="","no applicable weights",IF(E25=0,"outside scenario",IF(AND('Choose a resource'!$B$4&lt;&gt;"All",C25&lt;&gt;'Choose a resource'!$B$4),"other role",IF(R25="dependency_scope_review","scope review",IF(AND(D25="watch",'Choose a resource'!$B$6&lt;&gt;"Yes"),"watch excluded","candidate")))))</x:f>
        <x:v>other role</x:v>
      </x:c>
      <x:c r="H25" s="23" t="str">
        <x:f>IF(G25&lt;&gt;"candidate","",1+COUNTIFS($C$2:$C$63,C25,$G$2:$G$63,"candidate",$E$2:$E$63,"&gt;"&amp;E25)+COUNTIFS($C$2:$C$63,C25,$G$2:$G$63,"candidate",$E$2:$E$63,E25,$F$2:$F$63,"&gt;"&amp;F25))</x:f>
      </x:c>
      <x:c r="I25" s="23" t="n">
        <x:v>4</x:v>
      </x:c>
      <x:c r="J25" s="23" t="n">
        <x:v>3</x:v>
      </x:c>
      <x:c r="K25" s="23" t="n">
        <x:v>2</x:v>
      </x:c>
      <x:c r="L25" s="23" t="n">
        <x:v>5</x:v>
      </x:c>
      <x:c r="M25" s="23" t="n">
        <x:v>5</x:v>
      </x:c>
      <x:c r="N25" s="23" t="n">
        <x:v>5</x:v>
      </x:c>
      <x:c r="O25" s="23" t="n">
        <x:v>5</x:v>
      </x:c>
      <x:c r="P25" s="23" t="n">
        <x:v>4</x:v>
      </x:c>
      <x:c r="Q25" s="3" t="str">
        <x:v>medium</x:v>
      </x:c>
      <x:c r="R25" s="3" t="str">
        <x:v>qualified_named_core_scope</x:v>
      </x:c>
      <x:c r="S25" s="3" t="str">
        <x:v>documented</x:v>
      </x:c>
      <x:c r="T25" s="3" t="str">
        <x:v>Choose a utility/CSS theme foundation when you want precise tokens, density and surface control.</x:v>
      </x:c>
      <x:c r="U25" s="3" t="str">
        <x:v>It does not supply focus behaviour or accessibility semantics; pair with a component system.</x:v>
      </x:c>
      <x:c r="V25" s="3" t="str">
        <x:v>Open Props</x:v>
      </x:c>
      <x:c r="W25" s="3" t="str">
        <x:v>https://tailwindcss.com/showcase</x:v>
      </x:c>
      <x:c r="X25" s="3" t="str">
        <x:v>Editorial: official showcase demonstrates premium layouts; framework itself is unstyled.</x:v>
      </x:c>
      <x:c r="Y25" s="3" t="str">
        <x:v>https://tailwindcss.com/docs</x:v>
      </x:c>
      <x:c r="Z25" s="3" t="str">
        <x:v>Integration documentation; this link is guidance, not an additional live demonstration.</x:v>
      </x:c>
      <x:c r="AA25" s="3" t="n">
        <x:v>1</x:v>
      </x:c>
      <x:c r="AB25" s="3" t="n">
        <x:v>1</x:v>
      </x:c>
      <x:c r="AC25" s="3" t="n">
        <x:v>1</x:v>
      </x:c>
      <x:c r="AD25" s="3" t="n">
        <x:v>1</x:v>
      </x:c>
      <x:c r="AE25" s="3" t="n">
        <x:v>1</x:v>
      </x:c>
      <x:c r="AF25" s="3" t="n">
        <x:v>1</x:v>
      </x:c>
      <x:c r="AG25" s="3" t="n">
        <x:v>1</x:v>
      </x:c>
      <x:c r="AH25" s="3" t="n">
        <x:v>1</x:v>
      </x:c>
      <x:c r="AI25" s="3" t="n">
        <x:v>1</x:v>
      </x:c>
      <x:c r="AJ25" s="3" t="n">
        <x:v>1</x:v>
      </x:c>
    </x:row>
    <x:row r="26" ht="15" hidden="0" customHeight="1">
      <x:c r="A26" s="3" t="str">
        <x:v>tanstack_query</x:v>
      </x:c>
      <x:c r="B26" s="3" t="str">
        <x:v>TanStack Query</x:v>
      </x:c>
      <x:c r="C26" s="3" t="str">
        <x:v>Server state</x:v>
      </x:c>
      <x:c r="D26" s="3" t="str">
        <x:v>core</x:v>
      </x:c>
      <x:c r="E26" s="23" t="n">
        <x:f>INDEX(AA26:AJ26,1,MATCH('Choose a resource'!$B$3,$AA$1:$AJ$1,0))</x:f>
        <x:v>1</x:v>
      </x:c>
      <x:c r="F26" s="22" t="n">
        <x:f>IF(SUMIFS('Choose a resource'!$B$11:$I$11,I26:P26,"&gt;=1")=0,"",ROUND(100*SUMPRODUCT(I26:P26,'Choose a resource'!$B$11:$I$11)/(5*SUMIFS('Choose a resource'!$B$11:$I$11,I26:P26,"&gt;=1")),1))</x:f>
        <x:v>92.3</x:v>
      </x:c>
      <x:c r="G26" s="23" t="str">
        <x:f>IF(F26="","no applicable weights",IF(E26=0,"outside scenario",IF(AND('Choose a resource'!$B$4&lt;&gt;"All",C26&lt;&gt;'Choose a resource'!$B$4),"other role",IF(R26="dependency_scope_review","scope review",IF(AND(D26="watch",'Choose a resource'!$B$6&lt;&gt;"Yes"),"watch excluded","candidate")))))</x:f>
        <x:v>other role</x:v>
      </x:c>
      <x:c r="H26" s="23" t="str">
        <x:f>IF(G26&lt;&gt;"candidate","",1+COUNTIFS($C$2:$C$63,C26,$G$2:$G$63,"candidate",$E$2:$E$63,"&gt;"&amp;E26)+COUNTIFS($C$2:$C$63,C26,$G$2:$G$63,"candidate",$E$2:$E$63,E26,$F$2:$F$63,"&gt;"&amp;F26))</x:f>
      </x:c>
      <x:c r="I26" s="23"/>
      <x:c r="J26" s="23" t="n">
        <x:v>5</x:v>
      </x:c>
      <x:c r="K26" s="23"/>
      <x:c r="L26" s="23" t="n">
        <x:v>4</x:v>
      </x:c>
      <x:c r="M26" s="23" t="n">
        <x:v>5</x:v>
      </x:c>
      <x:c r="N26" s="23" t="n">
        <x:v>5</x:v>
      </x:c>
      <x:c r="O26" s="23" t="n">
        <x:v>5</x:v>
      </x:c>
      <x:c r="P26" s="23" t="n">
        <x:v>3</x:v>
      </x:c>
      <x:c r="Q26" s="3" t="str">
        <x:v>medium</x:v>
      </x:c>
      <x:c r="R26" s="3" t="str">
        <x:v>qualified_named_core_scope</x:v>
      </x:c>
      <x:c r="S26" s="3" t="str">
        <x:v>documented</x:v>
      </x:c>
      <x:c r="T26" s="3" t="str">
        <x:v>Use for cached remote state, invalidation, optimistic mutations and explicit rollback paths.</x:v>
      </x:c>
      <x:c r="U26" s="3" t="str">
        <x:v>It is not a CRDT or an offline conflict-resolution engine.</x:v>
      </x:c>
      <x:c r="V26" s="3" t="str">
        <x:v>Yjs; Loro</x:v>
      </x:c>
      <x:c r="W26" s="3" t="str">
        <x:v>https://tanstack.com/query/latest/docs/framework/react/guides/optimistic-updates</x:v>
      </x:c>
      <x:c r="X26" s="3" t="str">
        <x:v>Editorial: optimistic-update examples; library manages state rather than appearance.</x:v>
      </x:c>
      <x:c r="Y26" s="3" t="str">
        <x:v>https://tanstack.com/query/latest/docs</x:v>
      </x:c>
      <x:c r="Z26" s="3" t="str">
        <x:v>Integration documentation; this link is guidance, not an additional live demonstration.</x:v>
      </x:c>
      <x:c r="AA26" s="3" t="n">
        <x:v>1</x:v>
      </x:c>
      <x:c r="AB26" s="3" t="n">
        <x:v>1</x:v>
      </x:c>
      <x:c r="AC26" s="3" t="n">
        <x:v>1</x:v>
      </x:c>
      <x:c r="AD26" s="3" t="n">
        <x:v>1</x:v>
      </x:c>
      <x:c r="AE26" s="3" t="n">
        <x:v>0</x:v>
      </x:c>
      <x:c r="AF26" s="3" t="n">
        <x:v>1</x:v>
      </x:c>
      <x:c r="AG26" s="3" t="n">
        <x:v>1</x:v>
      </x:c>
      <x:c r="AH26" s="3" t="n">
        <x:v>1</x:v>
      </x:c>
      <x:c r="AI26" s="3" t="n">
        <x:v>1</x:v>
      </x:c>
      <x:c r="AJ26" s="3" t="n">
        <x:v>1</x:v>
      </x:c>
    </x:row>
    <x:row r="27" ht="15" hidden="0" customHeight="1">
      <x:c r="A27" s="3" t="str">
        <x:v>tanstack_table</x:v>
      </x:c>
      <x:c r="B27" s="3" t="str">
        <x:v>TanStack Table</x:v>
      </x:c>
      <x:c r="C27" s="3" t="str">
        <x:v>Data table</x:v>
      </x:c>
      <x:c r="D27" s="3" t="str">
        <x:v>core</x:v>
      </x:c>
      <x:c r="E27" s="23" t="n">
        <x:f>INDEX(AA27:AJ27,1,MATCH('Choose a resource'!$B$3,$AA$1:$AJ$1,0))</x:f>
        <x:v>2</x:v>
      </x:c>
      <x:c r="F27" s="22" t="n">
        <x:f>IF(SUMIFS('Choose a resource'!$B$11:$I$11,I27:P27,"&gt;=1")=0,"",ROUND(100*SUMPRODUCT(I27:P27,'Choose a resource'!$B$11:$I$11)/(5*SUMIFS('Choose a resource'!$B$11:$I$11,I27:P27,"&gt;=1")),1))</x:f>
        <x:v>82</x:v>
      </x:c>
      <x:c r="G27" s="23" t="str">
        <x:f>IF(F27="","no applicable weights",IF(E27=0,"outside scenario",IF(AND('Choose a resource'!$B$4&lt;&gt;"All",C27&lt;&gt;'Choose a resource'!$B$4),"other role",IF(R27="dependency_scope_review","scope review",IF(AND(D27="watch",'Choose a resource'!$B$6&lt;&gt;"Yes"),"watch excluded","candidate")))))</x:f>
        <x:v>other role</x:v>
      </x:c>
      <x:c r="H27" s="23" t="str">
        <x:f>IF(G27&lt;&gt;"candidate","",1+COUNTIFS($C$2:$C$63,C27,$G$2:$G$63,"candidate",$E$2:$E$63,"&gt;"&amp;E27)+COUNTIFS($C$2:$C$63,C27,$G$2:$G$63,"candidate",$E$2:$E$63,E27,$F$2:$F$63,"&gt;"&amp;F27))</x:f>
      </x:c>
      <x:c r="I27" s="23" t="n">
        <x:v>4</x:v>
      </x:c>
      <x:c r="J27" s="23" t="n">
        <x:v>5</x:v>
      </x:c>
      <x:c r="K27" s="23" t="n">
        <x:v>2</x:v>
      </x:c>
      <x:c r="L27" s="23" t="n">
        <x:v>4</x:v>
      </x:c>
      <x:c r="M27" s="23" t="n">
        <x:v>5</x:v>
      </x:c>
      <x:c r="N27" s="23" t="n">
        <x:v>5</x:v>
      </x:c>
      <x:c r="O27" s="23" t="n">
        <x:v>5</x:v>
      </x:c>
      <x:c r="P27" s="23" t="n">
        <x:v>3</x:v>
      </x:c>
      <x:c r="Q27" s="3" t="str">
        <x:v>medium</x:v>
      </x:c>
      <x:c r="R27" s="3" t="str">
        <x:v>qualified_named_core_scope</x:v>
      </x:c>
      <x:c r="S27" s="3" t="str">
        <x:v>documented</x:v>
      </x:c>
      <x:c r="T27" s="3" t="str">
        <x:v>Choose a headless table when the visual and interaction model must be owned by your app.</x:v>
      </x:c>
      <x:c r="U27" s="3" t="str">
        <x:v>Prefer AG Grid for a ready grid; pair with Virtual when row rendering becomes the bottleneck.</x:v>
      </x:c>
      <x:c r="V27" s="3" t="str">
        <x:v>AG Grid Community; VisActor VTable</x:v>
      </x:c>
      <x:c r="W27" s="3" t="str">
        <x:v>https://tanstack.com/table/latest/docs/framework/react/examples/virtualized-rows</x:v>
      </x:c>
      <x:c r="X27" s="3" t="str">
        <x:v>Editorial: composable virtualised rows demo; production visual polish comes from the surrounding UI kit.</x:v>
      </x:c>
      <x:c r="Y27" s="3" t="str">
        <x:v>https://tanstack.com/table/latest/docs</x:v>
      </x:c>
      <x:c r="Z27" s="3" t="str">
        <x:v>Integration documentation; this link is guidance, not an additional live demonstration.</x:v>
      </x:c>
      <x:c r="AA27" s="3" t="n">
        <x:v>0</x:v>
      </x:c>
      <x:c r="AB27" s="3" t="n">
        <x:v>2</x:v>
      </x:c>
      <x:c r="AC27" s="3" t="n">
        <x:v>2</x:v>
      </x:c>
      <x:c r="AD27" s="3" t="n">
        <x:v>0</x:v>
      </x:c>
      <x:c r="AE27" s="3" t="n">
        <x:v>0</x:v>
      </x:c>
      <x:c r="AF27" s="3" t="n">
        <x:v>0</x:v>
      </x:c>
      <x:c r="AG27" s="3" t="n">
        <x:v>0</x:v>
      </x:c>
      <x:c r="AH27" s="3" t="n">
        <x:v>0</x:v>
      </x:c>
      <x:c r="AI27" s="3" t="n">
        <x:v>2</x:v>
      </x:c>
      <x:c r="AJ27" s="3" t="n">
        <x:v>2</x:v>
      </x:c>
    </x:row>
    <x:row r="28" ht="15" hidden="0" customHeight="1">
      <x:c r="A28" s="3" t="str">
        <x:v>tanstack_virtual</x:v>
      </x:c>
      <x:c r="B28" s="3" t="str">
        <x:v>TanStack Virtual</x:v>
      </x:c>
      <x:c r="C28" s="3" t="str">
        <x:v>Virtualisation</x:v>
      </x:c>
      <x:c r="D28" s="3" t="str">
        <x:v>core</x:v>
      </x:c>
      <x:c r="E28" s="23" t="n">
        <x:f>INDEX(AA28:AJ28,1,MATCH('Choose a resource'!$B$3,$AA$1:$AJ$1,0))</x:f>
        <x:v>1</x:v>
      </x:c>
      <x:c r="F28" s="22" t="n">
        <x:f>IF(SUMIFS('Choose a resource'!$B$11:$I$11,I28:P28,"&gt;=1")=0,"",ROUND(100*SUMPRODUCT(I28:P28,'Choose a resource'!$B$11:$I$11)/(5*SUMIFS('Choose a resource'!$B$11:$I$11,I28:P28,"&gt;=1")),1))</x:f>
        <x:v>82.5</x:v>
      </x:c>
      <x:c r="G28" s="23" t="str">
        <x:f>IF(F28="","no applicable weights",IF(E28=0,"outside scenario",IF(AND('Choose a resource'!$B$4&lt;&gt;"All",C28&lt;&gt;'Choose a resource'!$B$4),"other role",IF(R28="dependency_scope_review","scope review",IF(AND(D28="watch",'Choose a resource'!$B$6&lt;&gt;"Yes"),"watch excluded","candidate")))))</x:f>
        <x:v>other role</x:v>
      </x:c>
      <x:c r="H28" s="23" t="str">
        <x:f>IF(G28&lt;&gt;"candidate","",1+COUNTIFS($C$2:$C$63,C28,$G$2:$G$63,"candidate",$E$2:$E$63,"&gt;"&amp;E28)+COUNTIFS($C$2:$C$63,C28,$G$2:$G$63,"candidate",$E$2:$E$63,E28,$F$2:$F$63,"&gt;"&amp;F28))</x:f>
      </x:c>
      <x:c r="I28" s="23"/>
      <x:c r="J28" s="23" t="n">
        <x:v>4</x:v>
      </x:c>
      <x:c r="K28" s="23" t="n">
        <x:v>2</x:v>
      </x:c>
      <x:c r="L28" s="23" t="n">
        <x:v>5</x:v>
      </x:c>
      <x:c r="M28" s="23" t="n">
        <x:v>5</x:v>
      </x:c>
      <x:c r="N28" s="23" t="n">
        <x:v>5</x:v>
      </x:c>
      <x:c r="O28" s="23" t="n">
        <x:v>5</x:v>
      </x:c>
      <x:c r="P28" s="23" t="n">
        <x:v>3</x:v>
      </x:c>
      <x:c r="Q28" s="3" t="str">
        <x:v>medium</x:v>
      </x:c>
      <x:c r="R28" s="3" t="str">
        <x:v>qualified_named_core_scope</x:v>
      </x:c>
      <x:c r="S28" s="3" t="str">
        <x:v>documented</x:v>
      </x:c>
      <x:c r="T28" s="3" t="str">
        <x:v>Use when windowing a long list/table can reduce DOM work without changing the data model.</x:v>
      </x:c>
      <x:c r="U28" s="3" t="str">
        <x:v>It does not add grid editing, sorting or accessible offscreen content automatically.</x:v>
      </x:c>
      <x:c r="V28" s="3" t="str">
        <x:v>VisActor VTable; AG Grid Community</x:v>
      </x:c>
      <x:c r="W28" s="3" t="str">
        <x:v>https://tanstack.com/virtual/latest/docs/framework/react/examples/dynamic</x:v>
      </x:c>
      <x:c r="X28" s="3" t="str">
        <x:v>Editorial: functional dynamic-height list demo; a performance primitive rather than a visual kit.</x:v>
      </x:c>
      <x:c r="Y28" s="3" t="str">
        <x:v>https://web.dev/articles/optimize-inp</x:v>
      </x:c>
      <x:c r="Z28" s="3" t="str">
        <x:v>Break down input delay, processing time and presentation delay.</x:v>
      </x:c>
      <x:c r="AA28" s="3" t="n">
        <x:v>0</x:v>
      </x:c>
      <x:c r="AB28" s="3" t="n">
        <x:v>1</x:v>
      </x:c>
      <x:c r="AC28" s="3" t="n">
        <x:v>1</x:v>
      </x:c>
      <x:c r="AD28" s="3" t="n">
        <x:v>0</x:v>
      </x:c>
      <x:c r="AE28" s="3" t="n">
        <x:v>0</x:v>
      </x:c>
      <x:c r="AF28" s="3" t="n">
        <x:v>0</x:v>
      </x:c>
      <x:c r="AG28" s="3" t="n">
        <x:v>0</x:v>
      </x:c>
      <x:c r="AH28" s="3" t="n">
        <x:v>1</x:v>
      </x:c>
      <x:c r="AI28" s="3" t="n">
        <x:v>1</x:v>
      </x:c>
      <x:c r="AJ28" s="3" t="n">
        <x:v>1</x:v>
      </x:c>
    </x:row>
    <x:row r="29" ht="24" hidden="0" customHeight="1">
      <x:c r="A29" s="3" t="str">
        <x:v>tiptap</x:v>
      </x:c>
      <x:c r="B29" s="3" t="str">
        <x:v>Tiptap OSS Editor</x:v>
      </x:c>
      <x:c r="C29" s="3" t="str">
        <x:v>Rich text editor</x:v>
      </x:c>
      <x:c r="D29" s="3" t="str">
        <x:v>core</x:v>
      </x:c>
      <x:c r="E29" s="23" t="n">
        <x:f>INDEX(AA29:AJ29,1,MATCH('Choose a resource'!$B$3,$AA$1:$AJ$1,0))</x:f>
        <x:v>0</x:v>
      </x:c>
      <x:c r="F29" s="22" t="n">
        <x:f>IF(SUMIFS('Choose a resource'!$B$11:$I$11,I29:P29,"&gt;=1")=0,"",ROUND(100*SUMPRODUCT(I29:P29,'Choose a resource'!$B$11:$I$11)/(5*SUMIFS('Choose a resource'!$B$11:$I$11,I29:P29,"&gt;=1")),1))</x:f>
        <x:v>86</x:v>
      </x:c>
      <x:c r="G29" s="23" t="str">
        <x:f>IF(F29="","no applicable weights",IF(E29=0,"outside scenario",IF(AND('Choose a resource'!$B$4&lt;&gt;"All",C29&lt;&gt;'Choose a resource'!$B$4),"other role",IF(R29="dependency_scope_review","scope review",IF(AND(D29="watch",'Choose a resource'!$B$6&lt;&gt;"Yes"),"watch excluded","candidate")))))</x:f>
        <x:v>outside scenario</x:v>
      </x:c>
      <x:c r="H29" s="23" t="str">
        <x:f>IF(G29&lt;&gt;"candidate","",1+COUNTIFS($C$2:$C$63,C29,$G$2:$G$63,"candidate",$E$2:$E$63,"&gt;"&amp;E29)+COUNTIFS($C$2:$C$63,C29,$G$2:$G$63,"candidate",$E$2:$E$63,E29,$F$2:$F$63,"&gt;"&amp;F29))</x:f>
      </x:c>
      <x:c r="I29" s="23" t="n">
        <x:v>4</x:v>
      </x:c>
      <x:c r="J29" s="23" t="n">
        <x:v>5</x:v>
      </x:c>
      <x:c r="K29" s="23" t="n">
        <x:v>3</x:v>
      </x:c>
      <x:c r="L29" s="23" t="n">
        <x:v>4</x:v>
      </x:c>
      <x:c r="M29" s="23" t="n">
        <x:v>5</x:v>
      </x:c>
      <x:c r="N29" s="23" t="n">
        <x:v>5</x:v>
      </x:c>
      <x:c r="O29" s="23" t="n">
        <x:v>5</x:v>
      </x:c>
      <x:c r="P29" s="23" t="n">
        <x:v>4</x:v>
      </x:c>
      <x:c r="Q29" s="3" t="str">
        <x:v>medium</x:v>
      </x:c>
      <x:c r="R29" s="3" t="str">
        <x:v>qualified_named_core_scope</x:v>
      </x:c>
      <x:c r="S29" s="3" t="str">
        <x:v>documented</x:v>
      </x:c>
      <x:c r="T29" s="3" t="str">
        <x:v>Choose rich-text editing when an extension ecosystem and quicker assembly outweigh low-level control.</x:v>
      </x:c>
      <x:c r="U29" s="3" t="str">
        <x:v>Verify each collaboration/comment extension separately; several advanced services/extensions are paid.</x:v>
      </x:c>
      <x:c r="V29" s="3" t="str">
        <x:v>Lexical</x:v>
      </x:c>
      <x:c r="W29" s="3" t="str">
        <x:v>https://tiptap.dev/docs/editor/getting-started/overview</x:v>
      </x:c>
      <x:c r="X29" s="3" t="str">
        <x:v>Official extension/editor documentation; editorial potential of the headless core, not a claim all promoted commercial UI is OSS.</x:v>
      </x:c>
      <x:c r="Y29" s="3" t="str">
        <x:v>https://tiptap.dev/docs/editor/getting-started/overview</x:v>
      </x:c>
      <x:c r="Z29" s="3" t="str">
        <x:v>Integration documentation; this link is guidance, not an additional live demonstration.</x:v>
      </x:c>
      <x:c r="AA29" s="3" t="n">
        <x:v>0</x:v>
      </x:c>
      <x:c r="AB29" s="3" t="n">
        <x:v>0</x:v>
      </x:c>
      <x:c r="AC29" s="3" t="n">
        <x:v>0</x:v>
      </x:c>
      <x:c r="AD29" s="3" t="n">
        <x:v>0</x:v>
      </x:c>
      <x:c r="AE29" s="3" t="n">
        <x:v>0</x:v>
      </x:c>
      <x:c r="AF29" s="3" t="n">
        <x:v>0</x:v>
      </x:c>
      <x:c r="AG29" s="3" t="n">
        <x:v>2</x:v>
      </x:c>
      <x:c r="AH29" s="3" t="n">
        <x:v>2</x:v>
      </x:c>
      <x:c r="AI29" s="3" t="n">
        <x:v>0</x:v>
      </x:c>
      <x:c r="AJ29" s="3" t="n">
        <x:v>2</x:v>
      </x:c>
    </x:row>
    <x:row r="30" ht="24" hidden="0" customHeight="1">
      <x:c r="A30" s="3" t="str">
        <x:v>yjs</x:v>
      </x:c>
      <x:c r="B30" s="3" t="str">
        <x:v>Yjs</x:v>
      </x:c>
      <x:c r="C30" s="3" t="str">
        <x:v>Collaboration sync</x:v>
      </x:c>
      <x:c r="D30" s="3" t="str">
        <x:v>core</x:v>
      </x:c>
      <x:c r="E30" s="23" t="n">
        <x:f>INDEX(AA30:AJ30,1,MATCH('Choose a resource'!$B$3,$AA$1:$AJ$1,0))</x:f>
        <x:v>0</x:v>
      </x:c>
      <x:c r="F30" s="22" t="n">
        <x:f>IF(SUMIFS('Choose a resource'!$B$11:$I$11,I30:P30,"&gt;=1")=0,"",ROUND(100*SUMPRODUCT(I30:P30,'Choose a resource'!$B$11:$I$11)/(5*SUMIFS('Choose a resource'!$B$11:$I$11,I30:P30,"&gt;=1")),1))</x:f>
        <x:v>86.2</x:v>
      </x:c>
      <x:c r="G30" s="23" t="str">
        <x:f>IF(F30="","no applicable weights",IF(E30=0,"outside scenario",IF(AND('Choose a resource'!$B$4&lt;&gt;"All",C30&lt;&gt;'Choose a resource'!$B$4),"other role",IF(R30="dependency_scope_review","scope review",IF(AND(D30="watch",'Choose a resource'!$B$6&lt;&gt;"Yes"),"watch excluded","candidate")))))</x:f>
        <x:v>outside scenario</x:v>
      </x:c>
      <x:c r="H30" s="23" t="str">
        <x:f>IF(G30&lt;&gt;"candidate","",1+COUNTIFS($C$2:$C$63,C30,$G$2:$G$63,"candidate",$E$2:$E$63,"&gt;"&amp;E30)+COUNTIFS($C$2:$C$63,C30,$G$2:$G$63,"candidate",$E$2:$E$63,E30,$F$2:$F$63,"&gt;"&amp;F30))</x:f>
      </x:c>
      <x:c r="I30" s="23"/>
      <x:c r="J30" s="23" t="n">
        <x:v>5</x:v>
      </x:c>
      <x:c r="K30" s="23"/>
      <x:c r="L30" s="23" t="n">
        <x:v>4</x:v>
      </x:c>
      <x:c r="M30" s="23" t="n">
        <x:v>4</x:v>
      </x:c>
      <x:c r="N30" s="23" t="n">
        <x:v>5</x:v>
      </x:c>
      <x:c r="O30" s="23" t="n">
        <x:v>5</x:v>
      </x:c>
      <x:c r="P30" s="23" t="n">
        <x:v>2</x:v>
      </x:c>
      <x:c r="Q30" s="3" t="str">
        <x:v>high</x:v>
      </x:c>
      <x:c r="R30" s="3" t="str">
        <x:v>qualified_named_core_scope</x:v>
      </x:c>
      <x:c r="S30" s="3" t="str">
        <x:v>documented</x:v>
      </x:c>
      <x:c r="T30" s="3" t="str">
        <x:v>Choose a mature CRDT ecosystem when editor bindings and existing providers suit your document model.</x:v>
      </x:c>
      <x:c r="U30" s="3" t="str">
        <x:v>Transport, auth, persistence, presence and user-level undo still need explicit design.</x:v>
      </x:c>
      <x:c r="V30" s="3" t="str">
        <x:v>Automerge; Loro</x:v>
      </x:c>
      <x:c r="W30" s="3" t="str">
        <x:v>https://docs.yjs.dev/ecosystem/editor-bindings/tiptap2</x:v>
      </x:c>
      <x:c r="X30" s="3" t="str">
        <x:v>No standalone visual skin: score reflects enabled presence/cursor experience in documented bindings; editorial, no sync-load benchmark.</x:v>
      </x:c>
      <x:c r="Y30" s="3" t="str">
        <x:v>https://docs.yjs.dev/</x:v>
      </x:c>
      <x:c r="Z30" s="3" t="str">
        <x:v>Integration documentation; this link is guidance, not an additional live demonstration.</x:v>
      </x:c>
      <x:c r="AA30" s="3" t="n">
        <x:v>0</x:v>
      </x:c>
      <x:c r="AB30" s="3" t="n">
        <x:v>0</x:v>
      </x:c>
      <x:c r="AC30" s="3" t="n">
        <x:v>0</x:v>
      </x:c>
      <x:c r="AD30" s="3" t="n">
        <x:v>0</x:v>
      </x:c>
      <x:c r="AE30" s="3" t="n">
        <x:v>0</x:v>
      </x:c>
      <x:c r="AF30" s="3" t="n">
        <x:v>0</x:v>
      </x:c>
      <x:c r="AG30" s="3" t="n">
        <x:v>3</x:v>
      </x:c>
      <x:c r="AH30" s="3" t="n">
        <x:v>0</x:v>
      </x:c>
      <x:c r="AI30" s="3" t="n">
        <x:v>0</x:v>
      </x:c>
      <x:c r="AJ30" s="3" t="n">
        <x:v>2</x:v>
      </x:c>
    </x:row>
    <x:row r="31" ht="15" hidden="0" customHeight="1">
      <x:c r="A31" s="3" t="str">
        <x:v>ag_grid_community</x:v>
      </x:c>
      <x:c r="B31" s="3" t="str">
        <x:v>AG Grid Community</x:v>
      </x:c>
      <x:c r="C31" s="3" t="str">
        <x:v>Data table</x:v>
      </x:c>
      <x:c r="D31" s="3" t="str">
        <x:v>situational</x:v>
      </x:c>
      <x:c r="E31" s="23" t="n">
        <x:f>INDEX(AA31:AJ31,1,MATCH('Choose a resource'!$B$3,$AA$1:$AJ$1,0))</x:f>
        <x:v>2</x:v>
      </x:c>
      <x:c r="F31" s="22" t="n">
        <x:f>IF(SUMIFS('Choose a resource'!$B$11:$I$11,I31:P31,"&gt;=1")=0,"",ROUND(100*SUMPRODUCT(I31:P31,'Choose a resource'!$B$11:$I$11)/(5*SUMIFS('Choose a resource'!$B$11:$I$11,I31:P31,"&gt;=1")),1))</x:f>
        <x:v>92</x:v>
      </x:c>
      <x:c r="G31" s="23" t="str">
        <x:f>IF(F31="","no applicable weights",IF(E31=0,"outside scenario",IF(AND('Choose a resource'!$B$4&lt;&gt;"All",C31&lt;&gt;'Choose a resource'!$B$4),"other role",IF(R31="dependency_scope_review","scope review",IF(AND(D31="watch",'Choose a resource'!$B$6&lt;&gt;"Yes"),"watch excluded","candidate")))))</x:f>
        <x:v>other role</x:v>
      </x:c>
      <x:c r="H31" s="23" t="str">
        <x:f>IF(G31&lt;&gt;"candidate","",1+COUNTIFS($C$2:$C$63,C31,$G$2:$G$63,"candidate",$E$2:$E$63,"&gt;"&amp;E31)+COUNTIFS($C$2:$C$63,C31,$G$2:$G$63,"candidate",$E$2:$E$63,E31,$F$2:$F$63,"&gt;"&amp;F31))</x:f>
      </x:c>
      <x:c r="I31" s="23" t="n">
        <x:v>4</x:v>
      </x:c>
      <x:c r="J31" s="23" t="n">
        <x:v>5</x:v>
      </x:c>
      <x:c r="K31" s="23" t="n">
        <x:v>4</x:v>
      </x:c>
      <x:c r="L31" s="23" t="n">
        <x:v>5</x:v>
      </x:c>
      <x:c r="M31" s="23" t="n">
        <x:v>5</x:v>
      </x:c>
      <x:c r="N31" s="23" t="n">
        <x:v>5</x:v>
      </x:c>
      <x:c r="O31" s="23" t="n">
        <x:v>5</x:v>
      </x:c>
      <x:c r="P31" s="23" t="n">
        <x:v>4</x:v>
      </x:c>
      <x:c r="Q31" s="3" t="str">
        <x:v>medium</x:v>
      </x:c>
      <x:c r="R31" s="3" t="str">
        <x:v>qualified_named_core_scope</x:v>
      </x:c>
      <x:c r="S31" s="3" t="str">
        <x:v>documented</x:v>
      </x:c>
      <x:c r="T31" s="3" t="str">
        <x:v>Choose a maintained DOM data grid when built-in editing, selection and keyboard workflows matter.</x:v>
      </x:c>
      <x:c r="U31" s="3" t="str">
        <x:v>Check the Community feature boundary before planning grouping, pivoting or enterprise-only capabilities.</x:v>
      </x:c>
      <x:c r="V31" s="3" t="str">
        <x:v>TanStack Table; VisActor VTable</x:v>
      </x:c>
      <x:c r="W31" s="3" t="str">
        <x:v>https://www.ag-grid.com/react-data-grid/getting-started/</x:v>
      </x:c>
      <x:c r="X31" s="3" t="str">
        <x:v>Editorial: clean themed starter grid; official flagship demos may include Enterprise features.</x:v>
      </x:c>
      <x:c r="Y31" s="3" t="str">
        <x:v>https://www.ag-grid.com/react-data-grid/</x:v>
      </x:c>
      <x:c r="Z31" s="3" t="str">
        <x:v>Integration documentation; this link is guidance, not an additional live demonstration.</x:v>
      </x:c>
      <x:c r="AA31" s="3" t="n">
        <x:v>0</x:v>
      </x:c>
      <x:c r="AB31" s="3" t="n">
        <x:v>2</x:v>
      </x:c>
      <x:c r="AC31" s="3" t="n">
        <x:v>2</x:v>
      </x:c>
      <x:c r="AD31" s="3" t="n">
        <x:v>0</x:v>
      </x:c>
      <x:c r="AE31" s="3" t="n">
        <x:v>0</x:v>
      </x:c>
      <x:c r="AF31" s="3" t="n">
        <x:v>0</x:v>
      </x:c>
      <x:c r="AG31" s="3" t="n">
        <x:v>0</x:v>
      </x:c>
      <x:c r="AH31" s="3" t="n">
        <x:v>0</x:v>
      </x:c>
      <x:c r="AI31" s="3" t="n">
        <x:v>0</x:v>
      </x:c>
      <x:c r="AJ31" s="3" t="n">
        <x:v>0</x:v>
      </x:c>
    </x:row>
    <x:row r="32" ht="24" hidden="0" customHeight="1">
      <x:c r="A32" s="3" t="str">
        <x:v>animejs</x:v>
      </x:c>
      <x:c r="B32" s="3" t="str">
        <x:v>Anime.js</x:v>
      </x:c>
      <x:c r="C32" s="3" t="str">
        <x:v>DOM motion</x:v>
      </x:c>
      <x:c r="D32" s="3" t="str">
        <x:v>situational</x:v>
      </x:c>
      <x:c r="E32" s="23" t="n">
        <x:f>INDEX(AA32:AJ32,1,MATCH('Choose a resource'!$B$3,$AA$1:$AJ$1,0))</x:f>
        <x:v>0</x:v>
      </x:c>
      <x:c r="F32" s="22" t="n">
        <x:f>IF(SUMIFS('Choose a resource'!$B$11:$I$11,I32:P32,"&gt;=1")=0,"",ROUND(100*SUMPRODUCT(I32:P32,'Choose a resource'!$B$11:$I$11)/(5*SUMIFS('Choose a resource'!$B$11:$I$11,I32:P32,"&gt;=1")),1))</x:f>
        <x:v>85</x:v>
      </x:c>
      <x:c r="G32" s="23" t="str">
        <x:f>IF(F32="","no applicable weights",IF(E32=0,"outside scenario",IF(AND('Choose a resource'!$B$4&lt;&gt;"All",C32&lt;&gt;'Choose a resource'!$B$4),"other role",IF(R32="dependency_scope_review","scope review",IF(AND(D32="watch",'Choose a resource'!$B$6&lt;&gt;"Yes"),"watch excluded","candidate")))))</x:f>
        <x:v>outside scenario</x:v>
      </x:c>
      <x:c r="H32" s="23" t="str">
        <x:f>IF(G32&lt;&gt;"candidate","",1+COUNTIFS($C$2:$C$63,C32,$G$2:$G$63,"candidate",$E$2:$E$63,"&gt;"&amp;E32)+COUNTIFS($C$2:$C$63,C32,$G$2:$G$63,"candidate",$E$2:$E$63,E32,$F$2:$F$63,"&gt;"&amp;F32))</x:f>
      </x:c>
      <x:c r="I32" s="23" t="n">
        <x:v>5</x:v>
      </x:c>
      <x:c r="J32" s="23" t="n">
        <x:v>5</x:v>
      </x:c>
      <x:c r="K32" s="23" t="n">
        <x:v>3</x:v>
      </x:c>
      <x:c r="L32" s="23" t="n">
        <x:v>4</x:v>
      </x:c>
      <x:c r="M32" s="23" t="n">
        <x:v>4</x:v>
      </x:c>
      <x:c r="N32" s="23" t="n">
        <x:v>5</x:v>
      </x:c>
      <x:c r="O32" s="23" t="n">
        <x:v>4</x:v>
      </x:c>
      <x:c r="P32" s="23" t="n">
        <x:v>3</x:v>
      </x:c>
      <x:c r="Q32" s="3" t="str">
        <x:v>medium</x:v>
      </x:c>
      <x:c r="R32" s="3" t="str">
        <x:v>qualified_named_core_scope</x:v>
      </x:c>
      <x:c r="S32" s="3" t="str">
        <x:v>documented</x:v>
      </x:c>
      <x:c r="T32" s="3" t="str">
        <x:v>Prefer for precise JavaScript sequencing, timelines and non-React-specific motion composition.</x:v>
      </x:c>
      <x:c r="U32" s="3" t="str">
        <x:v>For React layout/state transitions Motion is usually simpler; scope animation and clean it up.</x:v>
      </x:c>
      <x:c r="V32" s="3" t="str">
        <x:v>Motion</x:v>
      </x:c>
      <x:c r="W32" s="3" t="str">
        <x:v>https://animejs.com/</x:v>
      </x:c>
      <x:c r="X32" s="3" t="str">
        <x:v>Rendered official home hero inspected: layered luminous circular motion composition and strong type hierarchy; runtime smoothness unmeasured.</x:v>
      </x:c>
      <x:c r="Y32" s="3" t="str">
        <x:v>https://animejs.com/documentation/</x:v>
      </x:c>
      <x:c r="Z32" s="3" t="str">
        <x:v>Integration documentation; this link is guidance, not an additional live demonstration.</x:v>
      </x:c>
      <x:c r="AA32" s="3" t="n">
        <x:v>0</x:v>
      </x:c>
      <x:c r="AB32" s="3" t="n">
        <x:v>0</x:v>
      </x:c>
      <x:c r="AC32" s="3" t="n">
        <x:v>0</x:v>
      </x:c>
      <x:c r="AD32" s="3" t="n">
        <x:v>0</x:v>
      </x:c>
      <x:c r="AE32" s="3" t="n">
        <x:v>2</x:v>
      </x:c>
      <x:c r="AF32" s="3" t="n">
        <x:v>2</x:v>
      </x:c>
      <x:c r="AG32" s="3" t="n">
        <x:v>0</x:v>
      </x:c>
      <x:c r="AH32" s="3" t="n">
        <x:v>0</x:v>
      </x:c>
      <x:c r="AI32" s="3" t="n">
        <x:v>0</x:v>
      </x:c>
      <x:c r="AJ32" s="3" t="n">
        <x:v>0</x:v>
      </x:c>
    </x:row>
    <x:row r="33" ht="24" hidden="0" customHeight="1">
      <x:c r="A33" s="3" t="str">
        <x:v>automerge</x:v>
      </x:c>
      <x:c r="B33" s="3" t="str">
        <x:v>Automerge</x:v>
      </x:c>
      <x:c r="C33" s="3" t="str">
        <x:v>Collaboration sync</x:v>
      </x:c>
      <x:c r="D33" s="3" t="str">
        <x:v>situational</x:v>
      </x:c>
      <x:c r="E33" s="23" t="n">
        <x:f>INDEX(AA33:AJ33,1,MATCH('Choose a resource'!$B$3,$AA$1:$AJ$1,0))</x:f>
        <x:v>0</x:v>
      </x:c>
      <x:c r="F33" s="22" t="n">
        <x:f>IF(SUMIFS('Choose a resource'!$B$11:$I$11,I33:P33,"&gt;=1")=0,"",ROUND(100*SUMPRODUCT(I33:P33,'Choose a resource'!$B$11:$I$11)/(5*SUMIFS('Choose a resource'!$B$11:$I$11,I33:P33,"&gt;=1")),1))</x:f>
        <x:v>84.6</x:v>
      </x:c>
      <x:c r="G33" s="23" t="str">
        <x:f>IF(F33="","no applicable weights",IF(E33=0,"outside scenario",IF(AND('Choose a resource'!$B$4&lt;&gt;"All",C33&lt;&gt;'Choose a resource'!$B$4),"other role",IF(R33="dependency_scope_review","scope review",IF(AND(D33="watch",'Choose a resource'!$B$6&lt;&gt;"Yes"),"watch excluded","candidate")))))</x:f>
        <x:v>outside scenario</x:v>
      </x:c>
      <x:c r="H33" s="23" t="str">
        <x:f>IF(G33&lt;&gt;"candidate","",1+COUNTIFS($C$2:$C$63,C33,$G$2:$G$63,"candidate",$E$2:$E$63,"&gt;"&amp;E33)+COUNTIFS($C$2:$C$63,C33,$G$2:$G$63,"candidate",$E$2:$E$63,E33,$F$2:$F$63,"&gt;"&amp;F33))</x:f>
      </x:c>
      <x:c r="I33" s="23"/>
      <x:c r="J33" s="23" t="n">
        <x:v>5</x:v>
      </x:c>
      <x:c r="K33" s="23"/>
      <x:c r="L33" s="23" t="n">
        <x:v>4</x:v>
      </x:c>
      <x:c r="M33" s="23" t="n">
        <x:v>4</x:v>
      </x:c>
      <x:c r="N33" s="23" t="n">
        <x:v>5</x:v>
      </x:c>
      <x:c r="O33" s="23" t="n">
        <x:v>4</x:v>
      </x:c>
      <x:c r="P33" s="23" t="n">
        <x:v>2</x:v>
      </x:c>
      <x:c r="Q33" s="3" t="str">
        <x:v>high</x:v>
      </x:c>
      <x:c r="R33" s="3" t="str">
        <x:v>qualified_named_core_scope</x:v>
      </x:c>
      <x:c r="S33" s="3" t="str">
        <x:v>documented</x:v>
      </x:c>
      <x:c r="T33" s="3" t="str">
        <x:v>Prefer when local-first JSON documents, retained history and offline merge semantics are central.</x:v>
      </x:c>
      <x:c r="U33" s="3" t="str">
        <x:v>Do not combine CRDT engines casually or assume an Excalidraw drop-in integration.</x:v>
      </x:c>
      <x:c r="V33" s="3" t="str">
        <x:v>Yjs; Loro</x:v>
      </x:c>
      <x:c r="W33" s="3" t="str">
        <x:v>https://automerge.org/</x:v>
      </x:c>
      <x:c r="X33" s="3" t="str">
        <x:v>Headless synchronization infrastructure: 3/5 denotes the official multiplayer task-list demonstration, not an intrinsic visual skin. No visual polish or FPS guarantee for a whiteboard.</x:v>
      </x:c>
      <x:c r="Y33" s="3" t="str">
        <x:v>https://automerge.org/docs/</x:v>
      </x:c>
      <x:c r="Z33" s="3" t="str">
        <x:v>Integration documentation; this link is guidance, not an additional live demonstration.</x:v>
      </x:c>
      <x:c r="AA33" s="3" t="n">
        <x:v>0</x:v>
      </x:c>
      <x:c r="AB33" s="3" t="n">
        <x:v>0</x:v>
      </x:c>
      <x:c r="AC33" s="3" t="n">
        <x:v>0</x:v>
      </x:c>
      <x:c r="AD33" s="3" t="n">
        <x:v>0</x:v>
      </x:c>
      <x:c r="AE33" s="3" t="n">
        <x:v>0</x:v>
      </x:c>
      <x:c r="AF33" s="3" t="n">
        <x:v>0</x:v>
      </x:c>
      <x:c r="AG33" s="3" t="n">
        <x:v>3</x:v>
      </x:c>
      <x:c r="AH33" s="3" t="n">
        <x:v>0</x:v>
      </x:c>
      <x:c r="AI33" s="3" t="n">
        <x:v>0</x:v>
      </x:c>
      <x:c r="AJ33" s="3" t="n">
        <x:v>0</x:v>
      </x:c>
    </x:row>
    <x:row r="34" ht="24" hidden="0" customHeight="1">
      <x:c r="A34" s="3" t="str">
        <x:v>copilotkit</x:v>
      </x:c>
      <x:c r="B34" s="3" t="str">
        <x:v>CopilotKit (MIT SDKs and TypeScript runtime)</x:v>
      </x:c>
      <x:c r="C34" s="3" t="str">
        <x:v>Agent UI</x:v>
      </x:c>
      <x:c r="D34" s="3" t="str">
        <x:v>situational</x:v>
      </x:c>
      <x:c r="E34" s="23" t="n">
        <x:f>INDEX(AA34:AJ34,1,MATCH('Choose a resource'!$B$3,$AA$1:$AJ$1,0))</x:f>
        <x:v>0</x:v>
      </x:c>
      <x:c r="F34" s="22" t="n">
        <x:f>IF(SUMIFS('Choose a resource'!$B$11:$I$11,I34:P34,"&gt;=1")=0,"",ROUND(100*SUMPRODUCT(I34:P34,'Choose a resource'!$B$11:$I$11)/(5*SUMIFS('Choose a resource'!$B$11:$I$11,I34:P34,"&gt;=1")),1))</x:f>
        <x:v>84</x:v>
      </x:c>
      <x:c r="G34" s="23" t="str">
        <x:f>IF(F34="","no applicable weights",IF(E34=0,"outside scenario",IF(AND('Choose a resource'!$B$4&lt;&gt;"All",C34&lt;&gt;'Choose a resource'!$B$4),"other role",IF(R34="dependency_scope_review","scope review",IF(AND(D34="watch",'Choose a resource'!$B$6&lt;&gt;"Yes"),"watch excluded","candidate")))))</x:f>
        <x:v>outside scenario</x:v>
      </x:c>
      <x:c r="H34" s="23" t="str">
        <x:f>IF(G34&lt;&gt;"candidate","",1+COUNTIFS($C$2:$C$63,C34,$G$2:$G$63,"candidate",$E$2:$E$63,"&gt;"&amp;E34)+COUNTIFS($C$2:$C$63,C34,$G$2:$G$63,"candidate",$E$2:$E$63,E34,$F$2:$F$63,"&gt;"&amp;F34))</x:f>
      </x:c>
      <x:c r="I34" s="23" t="n">
        <x:v>4</x:v>
      </x:c>
      <x:c r="J34" s="23" t="n">
        <x:v>5</x:v>
      </x:c>
      <x:c r="K34" s="23" t="n">
        <x:v>3</x:v>
      </x:c>
      <x:c r="L34" s="23" t="n">
        <x:v>4</x:v>
      </x:c>
      <x:c r="M34" s="23" t="n">
        <x:v>5</x:v>
      </x:c>
      <x:c r="N34" s="23" t="n">
        <x:v>5</x:v>
      </x:c>
      <x:c r="O34" s="23" t="n">
        <x:v>4</x:v>
      </x:c>
      <x:c r="P34" s="23" t="n">
        <x:v>3</x:v>
      </x:c>
      <x:c r="Q34" s="3" t="str">
        <x:v>high</x:v>
      </x:c>
      <x:c r="R34" s="3" t="str">
        <x:v>qualified_named_core_scope</x:v>
      </x:c>
      <x:c r="S34" s="3" t="str">
        <x:v>documented</x:v>
      </x:c>
      <x:c r="T34" s="3" t="str">
        <x:v>Choose when an assistant should operate registered app actions and share application state.</x:v>
      </x:c>
      <x:c r="U34" s="3" t="str">
        <x:v>Core SDK MIT does not cover Showcase/Intelligence; action authorization is still server work.</x:v>
      </x:c>
      <x:c r="V34" s="3" t="str">
        <x:v>assistant-ui; json-render</x:v>
      </x:c>
      <x:c r="W34" s="3" t="str">
        <x:v>https://docs.copilotkit.ai/prebuilt-components</x:v>
      </x:c>
      <x:c r="X34" s="3" t="str">
        <x:v>Official SDK documentation and prebuilt chat patterns; source-restricted Showcase is excluded from implementation sources.</x:v>
      </x:c>
      <x:c r="Y34" s="3" t="str">
        <x:v>https://docs.copilotkit.ai/</x:v>
      </x:c>
      <x:c r="Z34" s="3" t="str">
        <x:v>Integration documentation; this link is guidance, not an additional live demonstration.</x:v>
      </x:c>
      <x:c r="AA34" s="3" t="n">
        <x:v>0</x:v>
      </x:c>
      <x:c r="AB34" s="3" t="n">
        <x:v>0</x:v>
      </x:c>
      <x:c r="AC34" s="3" t="n">
        <x:v>0</x:v>
      </x:c>
      <x:c r="AD34" s="3" t="n">
        <x:v>0</x:v>
      </x:c>
      <x:c r="AE34" s="3" t="n">
        <x:v>0</x:v>
      </x:c>
      <x:c r="AF34" s="3" t="n">
        <x:v>0</x:v>
      </x:c>
      <x:c r="AG34" s="3" t="n">
        <x:v>0</x:v>
      </x:c>
      <x:c r="AH34" s="3" t="n">
        <x:v>0</x:v>
      </x:c>
      <x:c r="AI34" s="3" t="n">
        <x:v>0</x:v>
      </x:c>
      <x:c r="AJ34" s="3" t="n">
        <x:v>3</x:v>
      </x:c>
    </x:row>
    <x:row r="35" ht="15" hidden="0" customHeight="1">
      <x:c r="A35" s="3" t="str">
        <x:v>dockview</x:v>
      </x:c>
      <x:c r="B35" s="3" t="str">
        <x:v>Dockview (MIT core)</x:v>
      </x:c>
      <x:c r="C35" s="3" t="str">
        <x:v>Workspace layout</x:v>
      </x:c>
      <x:c r="D35" s="3" t="str">
        <x:v>situational</x:v>
      </x:c>
      <x:c r="E35" s="23" t="n">
        <x:f>INDEX(AA35:AJ35,1,MATCH('Choose a resource'!$B$3,$AA$1:$AJ$1,0))</x:f>
        <x:v>0</x:v>
      </x:c>
      <x:c r="F35" s="22" t="n">
        <x:f>IF(SUMIFS('Choose a resource'!$B$11:$I$11,I35:P35,"&gt;=1")=0,"",ROUND(100*SUMPRODUCT(I35:P35,'Choose a resource'!$B$11:$I$11)/(5*SUMIFS('Choose a resource'!$B$11:$I$11,I35:P35,"&gt;=1")),1))</x:f>
        <x:v>82</x:v>
      </x:c>
      <x:c r="G35" s="23" t="str">
        <x:f>IF(F35="","no applicable weights",IF(E35=0,"outside scenario",IF(AND('Choose a resource'!$B$4&lt;&gt;"All",C35&lt;&gt;'Choose a resource'!$B$4),"other role",IF(R35="dependency_scope_review","scope review",IF(AND(D35="watch",'Choose a resource'!$B$6&lt;&gt;"Yes"),"watch excluded","candidate")))))</x:f>
        <x:v>outside scenario</x:v>
      </x:c>
      <x:c r="H35" s="23" t="str">
        <x:f>IF(G35&lt;&gt;"candidate","",1+COUNTIFS($C$2:$C$63,C35,$G$2:$G$63,"candidate",$E$2:$E$63,"&gt;"&amp;E35)+COUNTIFS($C$2:$C$63,C35,$G$2:$G$63,"candidate",$E$2:$E$63,E35,$F$2:$F$63,"&gt;"&amp;F35))</x:f>
      </x:c>
      <x:c r="I35" s="23" t="n">
        <x:v>4</x:v>
      </x:c>
      <x:c r="J35" s="23" t="n">
        <x:v>5</x:v>
      </x:c>
      <x:c r="K35" s="23" t="n">
        <x:v>3</x:v>
      </x:c>
      <x:c r="L35" s="23" t="n">
        <x:v>4</x:v>
      </x:c>
      <x:c r="M35" s="23" t="n">
        <x:v>5</x:v>
      </x:c>
      <x:c r="N35" s="23" t="n">
        <x:v>4</x:v>
      </x:c>
      <x:c r="O35" s="23" t="n">
        <x:v>4</x:v>
      </x:c>
      <x:c r="P35" s="23" t="n">
        <x:v>3</x:v>
      </x:c>
      <x:c r="Q35" s="3" t="str">
        <x:v>medium</x:v>
      </x:c>
      <x:c r="R35" s="3" t="str">
        <x:v>qualified_named_core_scope</x:v>
      </x:c>
      <x:c r="S35" s="3" t="str">
        <x:v>documented</x:v>
      </x:c>
      <x:c r="T35" s="3" t="str">
        <x:v>Choose a workbench with dockable tab groups, persisted workspace layout and editor-like panels.</x:v>
      </x:c>
      <x:c r="U35" s="3" t="str">
        <x:v>Use split panes for a simpler two-panel screen; check Enterprise boundaries.</x:v>
      </x:c>
      <x:c r="V35" s="3" t="str">
        <x:v>react-resizable-panels; React Grid Layout</x:v>
      </x:c>
      <x:c r="W35" s="3" t="str">
        <x:v>https://dockview.dev/demo/</x:v>
      </x:c>
      <x:c r="X35" s="3" t="str">
        <x:v>Editorial: IDE-like docking demo is directly applicable to multi-panel desktop tools.</x:v>
      </x:c>
      <x:c r="Y35" s="3" t="str">
        <x:v>https://dockview.dev/docs/overview/introduction/</x:v>
      </x:c>
      <x:c r="Z35" s="3" t="str">
        <x:v>Integration documentation; this link is guidance, not an additional live demonstration.</x:v>
      </x:c>
      <x:c r="AA35" s="3" t="n">
        <x:v>0</x:v>
      </x:c>
      <x:c r="AB35" s="3" t="n">
        <x:v>0</x:v>
      </x:c>
      <x:c r="AC35" s="3" t="n">
        <x:v>2</x:v>
      </x:c>
      <x:c r="AD35" s="3" t="n">
        <x:v>0</x:v>
      </x:c>
      <x:c r="AE35" s="3" t="n">
        <x:v>0</x:v>
      </x:c>
      <x:c r="AF35" s="3" t="n">
        <x:v>2</x:v>
      </x:c>
      <x:c r="AG35" s="3" t="n">
        <x:v>0</x:v>
      </x:c>
      <x:c r="AH35" s="3" t="n">
        <x:v>2</x:v>
      </x:c>
      <x:c r="AI35" s="3" t="n">
        <x:v>2</x:v>
      </x:c>
      <x:c r="AJ35" s="3" t="n">
        <x:v>2</x:v>
      </x:c>
    </x:row>
    <x:row r="36" ht="15" hidden="0" customHeight="1">
      <x:c r="A36" s="3" t="str">
        <x:v>driver_js</x:v>
      </x:c>
      <x:c r="B36" s="3" t="str">
        <x:v>Driver.js</x:v>
      </x:c>
      <x:c r="C36" s="3" t="str">
        <x:v>Onboarding tour</x:v>
      </x:c>
      <x:c r="D36" s="3" t="str">
        <x:v>situational</x:v>
      </x:c>
      <x:c r="E36" s="23" t="n">
        <x:f>INDEX(AA36:AJ36,1,MATCH('Choose a resource'!$B$3,$AA$1:$AJ$1,0))</x:f>
        <x:v>2</x:v>
      </x:c>
      <x:c r="F36" s="22" t="n">
        <x:f>IF(SUMIFS('Choose a resource'!$B$11:$I$11,I36:P36,"&gt;=1")=0,"",ROUND(100*SUMPRODUCT(I36:P36,'Choose a resource'!$B$11:$I$11)/(5*SUMIFS('Choose a resource'!$B$11:$I$11,I36:P36,"&gt;=1")),1))</x:f>
        <x:v>77</x:v>
      </x:c>
      <x:c r="G36" s="23" t="str">
        <x:f>IF(F36="","no applicable weights",IF(E36=0,"outside scenario",IF(AND('Choose a resource'!$B$4&lt;&gt;"All",C36&lt;&gt;'Choose a resource'!$B$4),"other role",IF(R36="dependency_scope_review","scope review",IF(AND(D36="watch",'Choose a resource'!$B$6&lt;&gt;"Yes"),"watch excluded","candidate")))))</x:f>
        <x:v>other role</x:v>
      </x:c>
      <x:c r="H36" s="23" t="str">
        <x:f>IF(G36&lt;&gt;"candidate","",1+COUNTIFS($C$2:$C$63,C36,$G$2:$G$63,"candidate",$E$2:$E$63,"&gt;"&amp;E36)+COUNTIFS($C$2:$C$63,C36,$G$2:$G$63,"candidate",$E$2:$E$63,E36,$F$2:$F$63,"&gt;"&amp;F36))</x:f>
      </x:c>
      <x:c r="I36" s="23" t="n">
        <x:v>4</x:v>
      </x:c>
      <x:c r="J36" s="23" t="n">
        <x:v>4</x:v>
      </x:c>
      <x:c r="K36" s="23" t="n">
        <x:v>3</x:v>
      </x:c>
      <x:c r="L36" s="23" t="n">
        <x:v>4</x:v>
      </x:c>
      <x:c r="M36" s="23" t="n">
        <x:v>4</x:v>
      </x:c>
      <x:c r="N36" s="23" t="n">
        <x:v>4</x:v>
      </x:c>
      <x:c r="O36" s="23" t="n">
        <x:v>4</x:v>
      </x:c>
      <x:c r="P36" s="23" t="n">
        <x:v>4</x:v>
      </x:c>
      <x:c r="Q36" s="3" t="str">
        <x:v>medium</x:v>
      </x:c>
      <x:c r="R36" s="3" t="str">
        <x:v>qualified_named_core_scope</x:v>
      </x:c>
      <x:c r="S36" s="3" t="str">
        <x:v>documented</x:v>
      </x:c>
      <x:c r="T36" s="3" t="str">
        <x:v>Use for a short optional contextual tour of a workflow that remains usable without the tour.</x:v>
      </x:c>
      <x:c r="U36" s="3" t="str">
        <x:v>Avoid mandatory overlays for long onboarding; focus, scroll and portal collisions need testing.</x:v>
      </x:c>
      <x:c r="V36" s="3" t="str"/>
      <x:c r="W36" s="3" t="str">
        <x:v>https://driverjs.com/</x:v>
      </x:c>
      <x:c r="X36" s="3" t="str">
        <x:v>Editorial: guided highlight/tour demo gives a clear, restrained first-run pattern.</x:v>
      </x:c>
      <x:c r="Y36" s="3" t="str">
        <x:v>https://driverjs.com/docs/installation</x:v>
      </x:c>
      <x:c r="Z36" s="3" t="str">
        <x:v>Integration documentation; this link is guidance, not an additional live demonstration.</x:v>
      </x:c>
      <x:c r="AA36" s="3" t="n">
        <x:v>0</x:v>
      </x:c>
      <x:c r="AB36" s="3" t="n">
        <x:v>2</x:v>
      </x:c>
      <x:c r="AC36" s="3" t="n">
        <x:v>0</x:v>
      </x:c>
      <x:c r="AD36" s="3" t="n">
        <x:v>0</x:v>
      </x:c>
      <x:c r="AE36" s="3" t="n">
        <x:v>0</x:v>
      </x:c>
      <x:c r="AF36" s="3" t="n">
        <x:v>2</x:v>
      </x:c>
      <x:c r="AG36" s="3" t="n">
        <x:v>2</x:v>
      </x:c>
      <x:c r="AH36" s="3" t="n">
        <x:v>2</x:v>
      </x:c>
      <x:c r="AI36" s="3" t="n">
        <x:v>0</x:v>
      </x:c>
      <x:c r="AJ36" s="3" t="n">
        <x:v>2</x:v>
      </x:c>
    </x:row>
    <x:row r="37" ht="15" hidden="0" customHeight="1">
      <x:c r="A37" s="3" t="str">
        <x:v>fullcalendar</x:v>
      </x:c>
      <x:c r="B37" s="3" t="str">
        <x:v>FullCalendar Standard</x:v>
      </x:c>
      <x:c r="C37" s="3" t="str">
        <x:v>Scheduling</x:v>
      </x:c>
      <x:c r="D37" s="3" t="str">
        <x:v>situational</x:v>
      </x:c>
      <x:c r="E37" s="23" t="n">
        <x:f>INDEX(AA37:AJ37,1,MATCH('Choose a resource'!$B$3,$AA$1:$AJ$1,0))</x:f>
        <x:v>2</x:v>
      </x:c>
      <x:c r="F37" s="22" t="n">
        <x:f>IF(SUMIFS('Choose a resource'!$B$11:$I$11,I37:P37,"&gt;=1")=0,"",ROUND(100*SUMPRODUCT(I37:P37,'Choose a resource'!$B$11:$I$11)/(5*SUMIFS('Choose a resource'!$B$11:$I$11,I37:P37,"&gt;=1")),1))</x:f>
        <x:v>89</x:v>
      </x:c>
      <x:c r="G37" s="23" t="str">
        <x:f>IF(F37="","no applicable weights",IF(E37=0,"outside scenario",IF(AND('Choose a resource'!$B$4&lt;&gt;"All",C37&lt;&gt;'Choose a resource'!$B$4),"other role",IF(R37="dependency_scope_review","scope review",IF(AND(D37="watch",'Choose a resource'!$B$6&lt;&gt;"Yes"),"watch excluded","candidate")))))</x:f>
        <x:v>other role</x:v>
      </x:c>
      <x:c r="H37" s="23" t="str">
        <x:f>IF(G37&lt;&gt;"candidate","",1+COUNTIFS($C$2:$C$63,C37,$G$2:$G$63,"candidate",$E$2:$E$63,"&gt;"&amp;E37)+COUNTIFS($C$2:$C$63,C37,$G$2:$G$63,"candidate",$E$2:$E$63,E37,$F$2:$F$63,"&gt;"&amp;F37))</x:f>
      </x:c>
      <x:c r="I37" s="23" t="n">
        <x:v>4</x:v>
      </x:c>
      <x:c r="J37" s="23" t="n">
        <x:v>5</x:v>
      </x:c>
      <x:c r="K37" s="23" t="n">
        <x:v>4</x:v>
      </x:c>
      <x:c r="L37" s="23" t="n">
        <x:v>4</x:v>
      </x:c>
      <x:c r="M37" s="23" t="n">
        <x:v>5</x:v>
      </x:c>
      <x:c r="N37" s="23" t="n">
        <x:v>5</x:v>
      </x:c>
      <x:c r="O37" s="23" t="n">
        <x:v>5</x:v>
      </x:c>
      <x:c r="P37" s="23" t="n">
        <x:v>4</x:v>
      </x:c>
      <x:c r="Q37" s="3" t="str">
        <x:v>medium</x:v>
      </x:c>
      <x:c r="R37" s="3" t="str">
        <x:v>qualified_named_core_scope</x:v>
      </x:c>
      <x:c r="S37" s="3" t="str">
        <x:v>documented</x:v>
      </x:c>
      <x:c r="T37" s="3" t="str">
        <x:v>Choose a mature scheduling/calendar surface with established React integration and timezone options.</x:v>
      </x:c>
      <x:c r="U37" s="3" t="str">
        <x:v>Check licence boundaries for resource scheduling and premium views.</x:v>
      </x:c>
      <x:c r="V37" s="3" t="str">
        <x:v>Schedule-X core</x:v>
      </x:c>
      <x:c r="W37" s="3" t="str">
        <x:v>https://fullcalendar.io/demos</x:v>
      </x:c>
      <x:c r="X37" s="3" t="str">
        <x:v>Official standard calendar demos; editorial fit after application token theming, not a runtime stress test.</x:v>
      </x:c>
      <x:c r="Y37" s="3" t="str">
        <x:v>https://fullcalendar.io/docs</x:v>
      </x:c>
      <x:c r="Z37" s="3" t="str">
        <x:v>Integration documentation; this link is guidance, not an additional live demonstration.</x:v>
      </x:c>
      <x:c r="AA37" s="3" t="n">
        <x:v>0</x:v>
      </x:c>
      <x:c r="AB37" s="3" t="n">
        <x:v>2</x:v>
      </x:c>
      <x:c r="AC37" s="3" t="n">
        <x:v>0</x:v>
      </x:c>
      <x:c r="AD37" s="3" t="n">
        <x:v>0</x:v>
      </x:c>
      <x:c r="AE37" s="3" t="n">
        <x:v>0</x:v>
      </x:c>
      <x:c r="AF37" s="3" t="n">
        <x:v>0</x:v>
      </x:c>
      <x:c r="AG37" s="3" t="n">
        <x:v>0</x:v>
      </x:c>
      <x:c r="AH37" s="3" t="n">
        <x:v>0</x:v>
      </x:c>
      <x:c r="AI37" s="3" t="n">
        <x:v>0</x:v>
      </x:c>
      <x:c r="AJ37" s="3" t="n">
        <x:v>2</x:v>
      </x:c>
    </x:row>
    <x:row r="38" ht="15" hidden="0" customHeight="1">
      <x:c r="A38" s="3" t="str">
        <x:v>kepler-gl</x:v>
      </x:c>
      <x:c r="B38" s="3" t="str">
        <x:v>kepler.gl</x:v>
      </x:c>
      <x:c r="C38" s="3" t="str">
        <x:v>Geospatial explorer</x:v>
      </x:c>
      <x:c r="D38" s="3" t="str">
        <x:v>situational</x:v>
      </x:c>
      <x:c r="E38" s="23" t="n">
        <x:f>INDEX(AA38:AJ38,1,MATCH('Choose a resource'!$B$3,$AA$1:$AJ$1,0))</x:f>
        <x:v>2</x:v>
      </x:c>
      <x:c r="F38" s="22" t="n">
        <x:f>IF(SUMIFS('Choose a resource'!$B$11:$I$11,I38:P38,"&gt;=1")=0,"",ROUND(100*SUMPRODUCT(I38:P38,'Choose a resource'!$B$11:$I$11)/(5*SUMIFS('Choose a resource'!$B$11:$I$11,I38:P38,"&gt;=1")),1))</x:f>
        <x:v>76</x:v>
      </x:c>
      <x:c r="G38" s="23" t="str">
        <x:f>IF(F38="","no applicable weights",IF(E38=0,"outside scenario",IF(AND('Choose a resource'!$B$4&lt;&gt;"All",C38&lt;&gt;'Choose a resource'!$B$4),"other role",IF(R38="dependency_scope_review","scope review",IF(AND(D38="watch",'Choose a resource'!$B$6&lt;&gt;"Yes"),"watch excluded","candidate")))))</x:f>
        <x:v>other role</x:v>
      </x:c>
      <x:c r="H38" s="23" t="str">
        <x:f>IF(G38&lt;&gt;"candidate","",1+COUNTIFS($C$2:$C$63,C38,$G$2:$G$63,"candidate",$E$2:$E$63,"&gt;"&amp;E38)+COUNTIFS($C$2:$C$63,C38,$G$2:$G$63,"candidate",$E$2:$E$63,E38,$F$2:$F$63,"&gt;"&amp;F38))</x:f>
      </x:c>
      <x:c r="I38" s="23" t="n">
        <x:v>4</x:v>
      </x:c>
      <x:c r="J38" s="23" t="n">
        <x:v>5</x:v>
      </x:c>
      <x:c r="K38" s="23" t="n">
        <x:v>2</x:v>
      </x:c>
      <x:c r="L38" s="23" t="n">
        <x:v>4</x:v>
      </x:c>
      <x:c r="M38" s="23" t="n">
        <x:v>4</x:v>
      </x:c>
      <x:c r="N38" s="23" t="n">
        <x:v>4</x:v>
      </x:c>
      <x:c r="O38" s="23" t="n">
        <x:v>4</x:v>
      </x:c>
      <x:c r="P38" s="23" t="n">
        <x:v>3</x:v>
      </x:c>
      <x:c r="Q38" s="3" t="str">
        <x:v>high</x:v>
      </x:c>
      <x:c r="R38" s="3" t="str">
        <x:v>qualified_named_core_scope</x:v>
      </x:c>
      <x:c r="S38" s="3" t="str">
        <x:v>documented</x:v>
      </x:c>
      <x:c r="T38" s="3" t="str">
        <x:v>Choose an exploratory map application/panel when layer authoring and rapid data exploration matter.</x:v>
      </x:c>
      <x:c r="U38" s="3" t="str">
        <x:v>Prefer MapLibre plus deck.gl when you need a smaller bespoke product experience.</x:v>
      </x:c>
      <x:c r="V38" s="3" t="str">
        <x:v>MapLibre GL JS; deck.gl</x:v>
      </x:c>
      <x:c r="W38" s="3" t="str">
        <x:v>https://kepler.gl/demo</x:v>
      </x:c>
      <x:c r="X38" s="3" t="str">
        <x:v>Official exploration application; editorial assessment, no imported large-dataset benchmark.</x:v>
      </x:c>
      <x:c r="Y38" s="3" t="str">
        <x:v>https://docs.kepler.gl/</x:v>
      </x:c>
      <x:c r="Z38" s="3" t="str">
        <x:v>Integration documentation; this link is guidance, not an additional live demonstration.</x:v>
      </x:c>
      <x:c r="AA38" s="3" t="n">
        <x:v>0</x:v>
      </x:c>
      <x:c r="AB38" s="3" t="n">
        <x:v>2</x:v>
      </x:c>
      <x:c r="AC38" s="3" t="n">
        <x:v>0</x:v>
      </x:c>
      <x:c r="AD38" s="3" t="n">
        <x:v>2</x:v>
      </x:c>
      <x:c r="AE38" s="3" t="n">
        <x:v>0</x:v>
      </x:c>
      <x:c r="AF38" s="3" t="n">
        <x:v>0</x:v>
      </x:c>
      <x:c r="AG38" s="3" t="n">
        <x:v>0</x:v>
      </x:c>
      <x:c r="AH38" s="3" t="n">
        <x:v>0</x:v>
      </x:c>
      <x:c r="AI38" s="3" t="n">
        <x:v>0</x:v>
      </x:c>
      <x:c r="AJ38" s="3" t="n">
        <x:v>0</x:v>
      </x:c>
    </x:row>
    <x:row r="39" ht="24" hidden="0" customHeight="1">
      <x:c r="A39" s="3" t="str">
        <x:v>konva</x:v>
      </x:c>
      <x:c r="B39" s="3" t="str">
        <x:v>Konva</x:v>
      </x:c>
      <x:c r="C39" s="3" t="str">
        <x:v>2D canvas engine</x:v>
      </x:c>
      <x:c r="D39" s="3" t="str">
        <x:v>situational</x:v>
      </x:c>
      <x:c r="E39" s="23" t="n">
        <x:f>INDEX(AA39:AJ39,1,MATCH('Choose a resource'!$B$3,$AA$1:$AJ$1,0))</x:f>
        <x:v>0</x:v>
      </x:c>
      <x:c r="F39" s="22" t="n">
        <x:f>IF(SUMIFS('Choose a resource'!$B$11:$I$11,I39:P39,"&gt;=1")=0,"",ROUND(100*SUMPRODUCT(I39:P39,'Choose a resource'!$B$11:$I$11)/(5*SUMIFS('Choose a resource'!$B$11:$I$11,I39:P39,"&gt;=1")),1))</x:f>
        <x:v>78</x:v>
      </x:c>
      <x:c r="G39" s="23" t="str">
        <x:f>IF(F39="","no applicable weights",IF(E39=0,"outside scenario",IF(AND('Choose a resource'!$B$4&lt;&gt;"All",C39&lt;&gt;'Choose a resource'!$B$4),"other role",IF(R39="dependency_scope_review","scope review",IF(AND(D39="watch",'Choose a resource'!$B$6&lt;&gt;"Yes"),"watch excluded","candidate")))))</x:f>
        <x:v>outside scenario</x:v>
      </x:c>
      <x:c r="H39" s="23" t="str">
        <x:f>IF(G39&lt;&gt;"candidate","",1+COUNTIFS($C$2:$C$63,C39,$G$2:$G$63,"candidate",$E$2:$E$63,"&gt;"&amp;E39)+COUNTIFS($C$2:$C$63,C39,$G$2:$G$63,"candidate",$E$2:$E$63,E39,$F$2:$F$63,"&gt;"&amp;F39))</x:f>
      </x:c>
      <x:c r="I39" s="23" t="n">
        <x:v>4</x:v>
      </x:c>
      <x:c r="J39" s="23" t="n">
        <x:v>5</x:v>
      </x:c>
      <x:c r="K39" s="23" t="n">
        <x:v>1</x:v>
      </x:c>
      <x:c r="L39" s="23" t="n">
        <x:v>4</x:v>
      </x:c>
      <x:c r="M39" s="23" t="n">
        <x:v>5</x:v>
      </x:c>
      <x:c r="N39" s="23" t="n">
        <x:v>5</x:v>
      </x:c>
      <x:c r="O39" s="23" t="n">
        <x:v>4</x:v>
      </x:c>
      <x:c r="P39" s="23" t="n">
        <x:v>3</x:v>
      </x:c>
      <x:c r="Q39" s="3" t="str">
        <x:v>high</x:v>
      </x:c>
      <x:c r="R39" s="3" t="str">
        <x:v>qualified_named_core_scope</x:v>
      </x:c>
      <x:c r="S39" s="3" t="str">
        <x:v>documented</x:v>
      </x:c>
      <x:c r="T39" s="3" t="str">
        <x:v>Choose a retained 2D scene graph for custom editors, selection handles and object transforms.</x:v>
      </x:c>
      <x:c r="U39" s="3" t="str">
        <x:v>Prefer PixiJS for GPU-heavy visual effects; provide separate DOM semantics.</x:v>
      </x:c>
      <x:c r="V39" s="3" t="str">
        <x:v>PixiJS; Excalidraw</x:v>
      </x:c>
      <x:c r="W39" s="3" t="str">
        <x:v>https://konvajs.org/docs/sandbox/Canvas_Editor.html</x:v>
      </x:c>
      <x:c r="X39" s="3" t="str">
        <x:v>Official design-editor example: selection handles, transform controls and content canvas; editorial potential, no frame-time benchmark.</x:v>
      </x:c>
      <x:c r="Y39" s="3" t="str">
        <x:v>https://konvajs.org/docs/</x:v>
      </x:c>
      <x:c r="Z39" s="3" t="str">
        <x:v>Integration documentation; this link is guidance, not an additional live demonstration.</x:v>
      </x:c>
      <x:c r="AA39" s="3" t="n">
        <x:v>0</x:v>
      </x:c>
      <x:c r="AB39" s="3" t="n">
        <x:v>0</x:v>
      </x:c>
      <x:c r="AC39" s="3" t="n">
        <x:v>0</x:v>
      </x:c>
      <x:c r="AD39" s="3" t="n">
        <x:v>0</x:v>
      </x:c>
      <x:c r="AE39" s="3" t="n">
        <x:v>0</x:v>
      </x:c>
      <x:c r="AF39" s="3" t="n">
        <x:v>2</x:v>
      </x:c>
      <x:c r="AG39" s="3" t="n">
        <x:v>3</x:v>
      </x:c>
      <x:c r="AH39" s="3" t="n">
        <x:v>2</x:v>
      </x:c>
      <x:c r="AI39" s="3" t="n">
        <x:v>0</x:v>
      </x:c>
      <x:c r="AJ39" s="3" t="n">
        <x:v>0</x:v>
      </x:c>
    </x:row>
    <x:row r="40" ht="24" hidden="0" customHeight="1">
      <x:c r="A40" s="3" t="str">
        <x:v>lenis</x:v>
      </x:c>
      <x:c r="B40" s="3" t="str">
        <x:v>Lenis</x:v>
      </x:c>
      <x:c r="C40" s="3" t="str">
        <x:v>Scroll enhancement</x:v>
      </x:c>
      <x:c r="D40" s="3" t="str">
        <x:v>situational</x:v>
      </x:c>
      <x:c r="E40" s="23" t="n">
        <x:f>INDEX(AA40:AJ40,1,MATCH('Choose a resource'!$B$3,$AA$1:$AJ$1,0))</x:f>
        <x:v>0</x:v>
      </x:c>
      <x:c r="F40" s="22" t="n">
        <x:f>IF(SUMIFS('Choose a resource'!$B$11:$I$11,I40:P40,"&gt;=1")=0,"",ROUND(100*SUMPRODUCT(I40:P40,'Choose a resource'!$B$11:$I$11)/(5*SUMIFS('Choose a resource'!$B$11:$I$11,I40:P40,"&gt;=1")),1))</x:f>
        <x:v>77</x:v>
      </x:c>
      <x:c r="G40" s="23" t="str">
        <x:f>IF(F40="","no applicable weights",IF(E40=0,"outside scenario",IF(AND('Choose a resource'!$B$4&lt;&gt;"All",C40&lt;&gt;'Choose a resource'!$B$4),"other role",IF(R40="dependency_scope_review","scope review",IF(AND(D40="watch",'Choose a resource'!$B$6&lt;&gt;"Yes"),"watch excluded","candidate")))))</x:f>
        <x:v>outside scenario</x:v>
      </x:c>
      <x:c r="H40" s="23" t="str">
        <x:f>IF(G40&lt;&gt;"candidate","",1+COUNTIFS($C$2:$C$63,C40,$G$2:$G$63,"candidate",$E$2:$E$63,"&gt;"&amp;E40)+COUNTIFS($C$2:$C$63,C40,$G$2:$G$63,"candidate",$E$2:$E$63,E40,$F$2:$F$63,"&gt;"&amp;F40))</x:f>
      </x:c>
      <x:c r="I40" s="23" t="n">
        <x:v>4</x:v>
      </x:c>
      <x:c r="J40" s="23" t="n">
        <x:v>4</x:v>
      </x:c>
      <x:c r="K40" s="23" t="n">
        <x:v>3</x:v>
      </x:c>
      <x:c r="L40" s="23" t="n">
        <x:v>4</x:v>
      </x:c>
      <x:c r="M40" s="23" t="n">
        <x:v>4</x:v>
      </x:c>
      <x:c r="N40" s="23" t="n">
        <x:v>4</x:v>
      </x:c>
      <x:c r="O40" s="23" t="n">
        <x:v>4</x:v>
      </x:c>
      <x:c r="P40" s="23" t="n">
        <x:v>4</x:v>
      </x:c>
      <x:c r="Q40" s="3" t="str">
        <x:v>medium</x:v>
      </x:c>
      <x:c r="R40" s="3" t="str">
        <x:v>qualified_named_core_scope</x:v>
      </x:c>
      <x:c r="S40" s="3" t="str">
        <x:v>documented</x:v>
      </x:c>
      <x:c r="T40" s="3" t="str">
        <x:v>Use selectively when art-directed scroll interpolation is an explicit part of the experience.</x:v>
      </x:c>
      <x:c r="U40" s="3" t="str">
        <x:v>Avoid changing native scrolling in dense productivity screens; test reduced motion and nested scrolling.</x:v>
      </x:c>
      <x:c r="V40" s="3" t="str">
        <x:v>Motion; Anime.js</x:v>
      </x:c>
      <x:c r="W40" s="3" t="str">
        <x:v>https://lenis.dev/</x:v>
      </x:c>
      <x:c r="X40" s="3" t="str">
        <x:v>Rendered official home inspected after loading: large expressive pink typography, black canvas, clear scroll prompt and compact navigation. Editorial4/5, with no desktop-app usability or FPS test.</x:v>
      </x:c>
      <x:c r="Y40" s="3" t="str">
        <x:v>https://tympanus.net/codrops/2026/06/23/podium-building-a-website-where-running-becomes-storytelling/</x:v>
      </x:c>
      <x:c r="Z40" s="3" t="str">
        <x:v>Project thumbnail expands into the next page's media hero; scroll pace follows film storytelling.</x:v>
      </x:c>
      <x:c r="AA40" s="3" t="n">
        <x:v>0</x:v>
      </x:c>
      <x:c r="AB40" s="3" t="n">
        <x:v>0</x:v>
      </x:c>
      <x:c r="AC40" s="3" t="n">
        <x:v>0</x:v>
      </x:c>
      <x:c r="AD40" s="3" t="n">
        <x:v>0</x:v>
      </x:c>
      <x:c r="AE40" s="3" t="n">
        <x:v>2</x:v>
      </x:c>
      <x:c r="AF40" s="3" t="n">
        <x:v>0</x:v>
      </x:c>
      <x:c r="AG40" s="3" t="n">
        <x:v>0</x:v>
      </x:c>
      <x:c r="AH40" s="3" t="n">
        <x:v>0</x:v>
      </x:c>
      <x:c r="AI40" s="3" t="n">
        <x:v>0</x:v>
      </x:c>
      <x:c r="AJ40" s="3" t="n">
        <x:v>0</x:v>
      </x:c>
    </x:row>
    <x:row r="41" ht="24" hidden="0" customHeight="1">
      <x:c r="A41" s="3" t="str">
        <x:v>magic_ui</x:v>
      </x:c>
      <x:c r="B41" s="3" t="str">
        <x:v>Magic UI (free components)</x:v>
      </x:c>
      <x:c r="C41" s="3" t="str">
        <x:v>Marketing components</x:v>
      </x:c>
      <x:c r="D41" s="3" t="str">
        <x:v>situational</x:v>
      </x:c>
      <x:c r="E41" s="23" t="n">
        <x:f>INDEX(AA41:AJ41,1,MATCH('Choose a resource'!$B$3,$AA$1:$AJ$1,0))</x:f>
        <x:v>0</x:v>
      </x:c>
      <x:c r="F41" s="22" t="n">
        <x:f>IF(SUMIFS('Choose a resource'!$B$11:$I$11,I41:P41,"&gt;=1")=0,"",ROUND(100*SUMPRODUCT(I41:P41,'Choose a resource'!$B$11:$I$11)/(5*SUMIFS('Choose a resource'!$B$11:$I$11,I41:P41,"&gt;=1")),1))</x:f>
        <x:v>77</x:v>
      </x:c>
      <x:c r="G41" s="23" t="str">
        <x:f>IF(F41="","no applicable weights",IF(E41=0,"outside scenario",IF(AND('Choose a resource'!$B$4&lt;&gt;"All",C41&lt;&gt;'Choose a resource'!$B$4),"other role",IF(R41="dependency_scope_review","scope review",IF(AND(D41="watch",'Choose a resource'!$B$6&lt;&gt;"Yes"),"watch excluded","candidate")))))</x:f>
        <x:v>outside scenario</x:v>
      </x:c>
      <x:c r="H41" s="23" t="str">
        <x:f>IF(G41&lt;&gt;"candidate","",1+COUNTIFS($C$2:$C$63,C41,$G$2:$G$63,"candidate",$E$2:$E$63,"&gt;"&amp;E41)+COUNTIFS($C$2:$C$63,C41,$G$2:$G$63,"candidate",$E$2:$E$63,E41,$F$2:$F$63,"&gt;"&amp;F41))</x:f>
      </x:c>
      <x:c r="I41" s="23" t="n">
        <x:v>4</x:v>
      </x:c>
      <x:c r="J41" s="23" t="n">
        <x:v>4</x:v>
      </x:c>
      <x:c r="K41" s="23" t="n">
        <x:v>3</x:v>
      </x:c>
      <x:c r="L41" s="23" t="n">
        <x:v>3</x:v>
      </x:c>
      <x:c r="M41" s="23" t="n">
        <x:v>5</x:v>
      </x:c>
      <x:c r="N41" s="23" t="n">
        <x:v>4</x:v>
      </x:c>
      <x:c r="O41" s="23" t="n">
        <x:v>4</x:v>
      </x:c>
      <x:c r="P41" s="23" t="n">
        <x:v>4</x:v>
      </x:c>
      <x:c r="Q41" s="3" t="str">
        <x:v>medium</x:v>
      </x:c>
      <x:c r="R41" s="3" t="str">
        <x:v>qualified_named_core_scope</x:v>
      </x:c>
      <x:c r="S41" s="3" t="str">
        <x:v>documented</x:v>
      </x:c>
      <x:c r="T41" s="3" t="str">
        <x:v>Choose free animated marketing blocks for deliberate focal moments with your product tokens.</x:v>
      </x:c>
      <x:c r="U41" s="3" t="str">
        <x:v>Do not spread decorative effects through task-focused tables or assume Pro templates are MIT.</x:v>
      </x:c>
      <x:c r="V41" s="3" t="str">
        <x:v>Kokonut UI (free components); shadcn/ui</x:v>
      </x:c>
      <x:c r="W41" s="3" t="str">
        <x:v>https://magicui.design/docs/components/bento-grid</x:v>
      </x:c>
      <x:c r="X41" s="3" t="str">
        <x:v>Rendered official Bento Grid inspected: disciplined spacing, soft elevation and layered preview cards; root also inspected live home. Free component rating only.</x:v>
      </x:c>
      <x:c r="Y41" s="3" t="str">
        <x:v>https://magicui.design/docs</x:v>
      </x:c>
      <x:c r="Z41" s="3" t="str">
        <x:v>Integration documentation; this link is guidance, not an additional live demonstration.</x:v>
      </x:c>
      <x:c r="AA41" s="3" t="n">
        <x:v>0</x:v>
      </x:c>
      <x:c r="AB41" s="3" t="n">
        <x:v>0</x:v>
      </x:c>
      <x:c r="AC41" s="3" t="n">
        <x:v>0</x:v>
      </x:c>
      <x:c r="AD41" s="3" t="n">
        <x:v>0</x:v>
      </x:c>
      <x:c r="AE41" s="3" t="n">
        <x:v>3</x:v>
      </x:c>
      <x:c r="AF41" s="3" t="n">
        <x:v>0</x:v>
      </x:c>
      <x:c r="AG41" s="3" t="n">
        <x:v>0</x:v>
      </x:c>
      <x:c r="AH41" s="3" t="n">
        <x:v>0</x:v>
      </x:c>
      <x:c r="AI41" s="3" t="n">
        <x:v>0</x:v>
      </x:c>
      <x:c r="AJ41" s="3" t="n">
        <x:v>0</x:v>
      </x:c>
    </x:row>
    <x:row r="42" ht="15" hidden="0" customHeight="1">
      <x:c r="A42" s="3" t="str">
        <x:v>mantine</x:v>
      </x:c>
      <x:c r="B42" s="3" t="str">
        <x:v>Mantine</x:v>
      </x:c>
      <x:c r="C42" s="3" t="str">
        <x:v>Styled component kit</x:v>
      </x:c>
      <x:c r="D42" s="3" t="str">
        <x:v>situational</x:v>
      </x:c>
      <x:c r="E42" s="23" t="n">
        <x:f>INDEX(AA42:AJ42,1,MATCH('Choose a resource'!$B$3,$AA$1:$AJ$1,0))</x:f>
        <x:v>2</x:v>
      </x:c>
      <x:c r="F42" s="22" t="n">
        <x:f>IF(SUMIFS('Choose a resource'!$B$11:$I$11,I42:P42,"&gt;=1")=0,"",ROUND(100*SUMPRODUCT(I42:P42,'Choose a resource'!$B$11:$I$11)/(5*SUMIFS('Choose a resource'!$B$11:$I$11,I42:P42,"&gt;=1")),1))</x:f>
        <x:v>90</x:v>
      </x:c>
      <x:c r="G42" s="23" t="str">
        <x:f>IF(F42="","no applicable weights",IF(E42=0,"outside scenario",IF(AND('Choose a resource'!$B$4&lt;&gt;"All",C42&lt;&gt;'Choose a resource'!$B$4),"other role",IF(R42="dependency_scope_review","scope review",IF(AND(D42="watch",'Choose a resource'!$B$6&lt;&gt;"Yes"),"watch excluded","candidate")))))</x:f>
        <x:v>other role</x:v>
      </x:c>
      <x:c r="H42" s="23" t="str">
        <x:f>IF(G42&lt;&gt;"candidate","",1+COUNTIFS($C$2:$C$63,C42,$G$2:$G$63,"candidate",$E$2:$E$63,"&gt;"&amp;E42)+COUNTIFS($C$2:$C$63,C42,$G$2:$G$63,"candidate",$E$2:$E$63,E42,$F$2:$F$63,"&gt;"&amp;F42))</x:f>
      </x:c>
      <x:c r="I42" s="23" t="n">
        <x:v>4</x:v>
      </x:c>
      <x:c r="J42" s="23" t="n">
        <x:v>5</x:v>
      </x:c>
      <x:c r="K42" s="23" t="n">
        <x:v>4</x:v>
      </x:c>
      <x:c r="L42" s="23" t="n">
        <x:v>4</x:v>
      </x:c>
      <x:c r="M42" s="23" t="n">
        <x:v>5</x:v>
      </x:c>
      <x:c r="N42" s="23" t="n">
        <x:v>5</x:v>
      </x:c>
      <x:c r="O42" s="23" t="n">
        <x:v>5</x:v>
      </x:c>
      <x:c r="P42" s="23" t="n">
        <x:v>5</x:v>
      </x:c>
      <x:c r="Q42" s="3" t="str">
        <x:v>low</x:v>
      </x:c>
      <x:c r="R42" s="3" t="str">
        <x:v>qualified_named_core_scope</x:v>
      </x:c>
      <x:c r="S42" s="3" t="str">
        <x:v>documented</x:v>
      </x:c>
      <x:c r="T42" s="3" t="str">
        <x:v>Choose a broad packaged React kit when speed of implementation and consistent states are priorities.</x:v>
      </x:c>
      <x:c r="U42" s="3" t="str">
        <x:v>Choose shadcn or headless primitives when deep visual/code ownership outweighs package convenience.</x:v>
      </x:c>
      <x:c r="V42" s="3" t="str">
        <x:v>shadcn/ui; React Aria Components</x:v>
      </x:c>
      <x:c r="W42" s="3" t="str">
        <x:v>https://mantine.dev/core/app-shell/</x:v>
      </x:c>
      <x:c r="X42" s="3" t="str">
        <x:v>Editorial: configurable desktop shell plus cohesive control styles; less distinctive until themed.</x:v>
      </x:c>
      <x:c r="Y42" s="3" t="str">
        <x:v>https://mantine.dev/</x:v>
      </x:c>
      <x:c r="Z42" s="3" t="str">
        <x:v>Integration documentation; this link is guidance, not an additional live demonstration.</x:v>
      </x:c>
      <x:c r="AA42" s="3" t="n">
        <x:v>2</x:v>
      </x:c>
      <x:c r="AB42" s="3" t="n">
        <x:v>2</x:v>
      </x:c>
      <x:c r="AC42" s="3" t="n">
        <x:v>2</x:v>
      </x:c>
      <x:c r="AD42" s="3" t="n">
        <x:v>2</x:v>
      </x:c>
      <x:c r="AE42" s="3" t="n">
        <x:v>2</x:v>
      </x:c>
      <x:c r="AF42" s="3" t="n">
        <x:v>2</x:v>
      </x:c>
      <x:c r="AG42" s="3" t="n">
        <x:v>2</x:v>
      </x:c>
      <x:c r="AH42" s="3" t="n">
        <x:v>2</x:v>
      </x:c>
      <x:c r="AI42" s="3" t="n">
        <x:v>2</x:v>
      </x:c>
      <x:c r="AJ42" s="3" t="n">
        <x:v>2</x:v>
      </x:c>
    </x:row>
    <x:row r="43" ht="24" hidden="0" customHeight="1">
      <x:c r="A43" s="3" t="str">
        <x:v>monaco_editor</x:v>
      </x:c>
      <x:c r="B43" s="3" t="str">
        <x:v>Monaco Editor</x:v>
      </x:c>
      <x:c r="C43" s="3" t="str">
        <x:v>Code review editor</x:v>
      </x:c>
      <x:c r="D43" s="3" t="str">
        <x:v>situational</x:v>
      </x:c>
      <x:c r="E43" s="23" t="n">
        <x:f>INDEX(AA43:AJ43,1,MATCH('Choose a resource'!$B$3,$AA$1:$AJ$1,0))</x:f>
        <x:v>0</x:v>
      </x:c>
      <x:c r="F43" s="22" t="n">
        <x:f>IF(SUMIFS('Choose a resource'!$B$11:$I$11,I43:P43,"&gt;=1")=0,"",ROUND(100*SUMPRODUCT(I43:P43,'Choose a resource'!$B$11:$I$11)/(5*SUMIFS('Choose a resource'!$B$11:$I$11,I43:P43,"&gt;=1")),1))</x:f>
        <x:v>81</x:v>
      </x:c>
      <x:c r="G43" s="23" t="str">
        <x:f>IF(F43="","no applicable weights",IF(E43=0,"outside scenario",IF(AND('Choose a resource'!$B$4&lt;&gt;"All",C43&lt;&gt;'Choose a resource'!$B$4),"other role",IF(R43="dependency_scope_review","scope review",IF(AND(D43="watch",'Choose a resource'!$B$6&lt;&gt;"Yes"),"watch excluded","candidate")))))</x:f>
        <x:v>outside scenario</x:v>
      </x:c>
      <x:c r="H43" s="23" t="str">
        <x:f>IF(G43&lt;&gt;"candidate","",1+COUNTIFS($C$2:$C$63,C43,$G$2:$G$63,"candidate",$E$2:$E$63,"&gt;"&amp;E43)+COUNTIFS($C$2:$C$63,C43,$G$2:$G$63,"candidate",$E$2:$E$63,E43,$F$2:$F$63,"&gt;"&amp;F43))</x:f>
      </x:c>
      <x:c r="I43" s="23" t="n">
        <x:v>3</x:v>
      </x:c>
      <x:c r="J43" s="23" t="n">
        <x:v>5</x:v>
      </x:c>
      <x:c r="K43" s="23" t="n">
        <x:v>4</x:v>
      </x:c>
      <x:c r="L43" s="23" t="n">
        <x:v>4</x:v>
      </x:c>
      <x:c r="M43" s="23" t="n">
        <x:v>4</x:v>
      </x:c>
      <x:c r="N43" s="23" t="n">
        <x:v>5</x:v>
      </x:c>
      <x:c r="O43" s="23" t="n">
        <x:v>5</x:v>
      </x:c>
      <x:c r="P43" s="23" t="n">
        <x:v>3</x:v>
      </x:c>
      <x:c r="Q43" s="3" t="str">
        <x:v>medium</x:v>
      </x:c>
      <x:c r="R43" s="3" t="str">
        <x:v>qualified_named_core_scope</x:v>
      </x:c>
      <x:c r="S43" s="3" t="str">
        <x:v>documented</x:v>
      </x:c>
      <x:c r="T43" s="3" t="str">
        <x:v>Use for a real code/diff editing surface with selection, syntax and familiar keyboard behaviour.</x:v>
      </x:c>
      <x:c r="U43" s="3" t="str">
        <x:v>It does not implement semantic approval, per-action authorization or an audit trail.</x:v>
      </x:c>
      <x:c r="V43" s="3" t="str"/>
      <x:c r="W43" s="3" t="str">
        <x:v>https://microsoft.github.io/monaco-editor/</x:v>
      </x:c>
      <x:c r="X43" s="3" t="str">
        <x:v>Rendered official side-by-side Diff Editor inspected, including Revert Block actions. Functional rather than visually striking; needs app typography/theme. Demo labels v0.55.1, repo current0.57.0.</x:v>
      </x:c>
      <x:c r="Y43" s="3" t="str">
        <x:v>https://microsoft.github.io/monaco-editor/docs.html</x:v>
      </x:c>
      <x:c r="Z43" s="3" t="str">
        <x:v>Integration documentation; this link is guidance, not an additional live demonstration.</x:v>
      </x:c>
      <x:c r="AA43" s="3" t="n">
        <x:v>0</x:v>
      </x:c>
      <x:c r="AB43" s="3" t="n">
        <x:v>0</x:v>
      </x:c>
      <x:c r="AC43" s="3" t="n">
        <x:v>0</x:v>
      </x:c>
      <x:c r="AD43" s="3" t="n">
        <x:v>0</x:v>
      </x:c>
      <x:c r="AE43" s="3" t="n">
        <x:v>0</x:v>
      </x:c>
      <x:c r="AF43" s="3" t="n">
        <x:v>0</x:v>
      </x:c>
      <x:c r="AG43" s="3" t="n">
        <x:v>0</x:v>
      </x:c>
      <x:c r="AH43" s="3" t="n">
        <x:v>0</x:v>
      </x:c>
      <x:c r="AI43" s="3" t="n">
        <x:v>0</x:v>
      </x:c>
      <x:c r="AJ43" s="3" t="n">
        <x:v>2</x:v>
      </x:c>
    </x:row>
    <x:row r="44" ht="15" hidden="0" customHeight="1">
      <x:c r="A44" s="3" t="str">
        <x:v>numberflow</x:v>
      </x:c>
      <x:c r="B44" s="3" t="str">
        <x:v>NumberFlow</x:v>
      </x:c>
      <x:c r="C44" s="3" t="str">
        <x:v>Numeric motion</x:v>
      </x:c>
      <x:c r="D44" s="3" t="str">
        <x:v>situational</x:v>
      </x:c>
      <x:c r="E44" s="23" t="n">
        <x:f>INDEX(AA44:AJ44,1,MATCH('Choose a resource'!$B$3,$AA$1:$AJ$1,0))</x:f>
        <x:v>2</x:v>
      </x:c>
      <x:c r="F44" s="22" t="n">
        <x:f>IF(SUMIFS('Choose a resource'!$B$11:$I$11,I44:P44,"&gt;=1")=0,"",ROUND(100*SUMPRODUCT(I44:P44,'Choose a resource'!$B$11:$I$11)/(5*SUMIFS('Choose a resource'!$B$11:$I$11,I44:P44,"&gt;=1")),1))</x:f>
        <x:v>88</x:v>
      </x:c>
      <x:c r="G44" s="23" t="str">
        <x:f>IF(F44="","no applicable weights",IF(E44=0,"outside scenario",IF(AND('Choose a resource'!$B$4&lt;&gt;"All",C44&lt;&gt;'Choose a resource'!$B$4),"other role",IF(R44="dependency_scope_review","scope review",IF(AND(D44="watch",'Choose a resource'!$B$6&lt;&gt;"Yes"),"watch excluded","candidate")))))</x:f>
        <x:v>other role</x:v>
      </x:c>
      <x:c r="H44" s="23" t="str">
        <x:f>IF(G44&lt;&gt;"candidate","",1+COUNTIFS($C$2:$C$63,C44,$G$2:$G$63,"candidate",$E$2:$E$63,"&gt;"&amp;E44)+COUNTIFS($C$2:$C$63,C44,$G$2:$G$63,"candidate",$E$2:$E$63,E44,$F$2:$F$63,"&gt;"&amp;F44))</x:f>
      </x:c>
      <x:c r="I44" s="23" t="n">
        <x:v>5</x:v>
      </x:c>
      <x:c r="J44" s="23" t="n">
        <x:v>4</x:v>
      </x:c>
      <x:c r="K44" s="23" t="n">
        <x:v>4</x:v>
      </x:c>
      <x:c r="L44" s="23" t="n">
        <x:v>4</x:v>
      </x:c>
      <x:c r="M44" s="23" t="n">
        <x:v>5</x:v>
      </x:c>
      <x:c r="N44" s="23" t="n">
        <x:v>4</x:v>
      </x:c>
      <x:c r="O44" s="23" t="n">
        <x:v>4</x:v>
      </x:c>
      <x:c r="P44" s="23" t="n">
        <x:v>5</x:v>
      </x:c>
      <x:c r="Q44" s="3" t="str">
        <x:v>low</x:v>
      </x:c>
      <x:c r="R44" s="3" t="str">
        <x:v>qualified_named_core_scope</x:v>
      </x:c>
      <x:c r="S44" s="3" t="str">
        <x:v>documented</x:v>
      </x:c>
      <x:c r="T44" s="3" t="str">
        <x:v>Use when changing numeric values should remain legible and trackable through motion.</x:v>
      </x:c>
      <x:c r="U44" s="3" t="str">
        <x:v>Avoid animating every incoming trading tick or hiding the static value from assistive technology.</x:v>
      </x:c>
      <x:c r="V44" s="3" t="str">
        <x:v>Motion</x:v>
      </x:c>
      <x:c r="W44" s="3" t="str">
        <x:v>https://number-flow.barvian.me/</x:v>
      </x:c>
      <x:c r="X44" s="3" t="str">
        <x:v>Editorial: shuffleable currency/number specimen shows smooth width and digit transitions.</x:v>
      </x:c>
      <x:c r="Y44" s="3" t="str">
        <x:v>https://number-flow.barvian.me/</x:v>
      </x:c>
      <x:c r="Z44" s="3" t="str">
        <x:v>Integration documentation; this link is guidance, not an additional live demonstration.</x:v>
      </x:c>
      <x:c r="AA44" s="3" t="n">
        <x:v>0</x:v>
      </x:c>
      <x:c r="AB44" s="3" t="n">
        <x:v>2</x:v>
      </x:c>
      <x:c r="AC44" s="3" t="n">
        <x:v>2</x:v>
      </x:c>
      <x:c r="AD44" s="3" t="n">
        <x:v>0</x:v>
      </x:c>
      <x:c r="AE44" s="3" t="n">
        <x:v>2</x:v>
      </x:c>
      <x:c r="AF44" s="3" t="n">
        <x:v>2</x:v>
      </x:c>
      <x:c r="AG44" s="3" t="n">
        <x:v>0</x:v>
      </x:c>
      <x:c r="AH44" s="3" t="n">
        <x:v>0</x:v>
      </x:c>
      <x:c r="AI44" s="3" t="n">
        <x:v>0</x:v>
      </x:c>
      <x:c r="AJ44" s="3" t="n">
        <x:v>0</x:v>
      </x:c>
    </x:row>
    <x:row r="45" ht="15" hidden="0" customHeight="1">
      <x:c r="A45" s="3" t="str">
        <x:v>open_props</x:v>
      </x:c>
      <x:c r="B45" s="3" t="str">
        <x:v>Open Props</x:v>
      </x:c>
      <x:c r="C45" s="3" t="str">
        <x:v>CSS foundation</x:v>
      </x:c>
      <x:c r="D45" s="3" t="str">
        <x:v>situational</x:v>
      </x:c>
      <x:c r="E45" s="23" t="n">
        <x:f>INDEX(AA45:AJ45,1,MATCH('Choose a resource'!$B$3,$AA$1:$AJ$1,0))</x:f>
        <x:v>1</x:v>
      </x:c>
      <x:c r="F45" s="22" t="n">
        <x:f>IF(SUMIFS('Choose a resource'!$B$11:$I$11,I45:P45,"&gt;=1")=0,"",ROUND(100*SUMPRODUCT(I45:P45,'Choose a resource'!$B$11:$I$11)/(5*SUMIFS('Choose a resource'!$B$11:$I$11,I45:P45,"&gt;=1")),1))</x:f>
        <x:v>77</x:v>
      </x:c>
      <x:c r="G45" s="23" t="str">
        <x:f>IF(F45="","no applicable weights",IF(E45=0,"outside scenario",IF(AND('Choose a resource'!$B$4&lt;&gt;"All",C45&lt;&gt;'Choose a resource'!$B$4),"other role",IF(R45="dependency_scope_review","scope review",IF(AND(D45="watch",'Choose a resource'!$B$6&lt;&gt;"Yes"),"watch excluded","candidate")))))</x:f>
        <x:v>other role</x:v>
      </x:c>
      <x:c r="H45" s="23" t="str">
        <x:f>IF(G45&lt;&gt;"candidate","",1+COUNTIFS($C$2:$C$63,C45,$G$2:$G$63,"candidate",$E$2:$E$63,"&gt;"&amp;E45)+COUNTIFS($C$2:$C$63,C45,$G$2:$G$63,"candidate",$E$2:$E$63,E45,$F$2:$F$63,"&gt;"&amp;F45))</x:f>
      </x:c>
      <x:c r="I45" s="23" t="n">
        <x:v>4</x:v>
      </x:c>
      <x:c r="J45" s="23" t="n">
        <x:v>3</x:v>
      </x:c>
      <x:c r="K45" s="23" t="n">
        <x:v>3</x:v>
      </x:c>
      <x:c r="L45" s="23" t="n">
        <x:v>5</x:v>
      </x:c>
      <x:c r="M45" s="23" t="n">
        <x:v>4</x:v>
      </x:c>
      <x:c r="N45" s="23" t="n">
        <x:v>4</x:v>
      </x:c>
      <x:c r="O45" s="23" t="n">
        <x:v>4</x:v>
      </x:c>
      <x:c r="P45" s="23" t="n">
        <x:v>4</x:v>
      </x:c>
      <x:c r="Q45" s="3" t="str">
        <x:v>medium</x:v>
      </x:c>
      <x:c r="R45" s="3" t="str">
        <x:v>qualified_named_core_scope</x:v>
      </x:c>
      <x:c r="S45" s="3" t="str">
        <x:v>documented</x:v>
      </x:c>
      <x:c r="T45" s="3" t="str">
        <x:v>Choose CSS custom-property scales and small reusable motion/surface primitives with little runtime.</x:v>
      </x:c>
      <x:c r="U45" s="3" t="str">
        <x:v>It is not a styled component kit or a replacement for semantic token governance.</x:v>
      </x:c>
      <x:c r="V45" s="3" t="str">
        <x:v>Tailwind CSS; Style Dictionary</x:v>
      </x:c>
      <x:c r="W45" s="3" t="str">
        <x:v>https://open-props.style/#shadows</x:v>
      </x:c>
      <x:c r="X45" s="3" t="str">
        <x:v>Editorial: interactive property specimens make depth and motion scales concrete.</x:v>
      </x:c>
      <x:c r="Y45" s="3" t="str">
        <x:v>https://open-props.style/</x:v>
      </x:c>
      <x:c r="Z45" s="3" t="str">
        <x:v>Integration documentation; this link is guidance, not an additional live demonstration.</x:v>
      </x:c>
      <x:c r="AA45" s="3" t="n">
        <x:v>1</x:v>
      </x:c>
      <x:c r="AB45" s="3" t="n">
        <x:v>1</x:v>
      </x:c>
      <x:c r="AC45" s="3" t="n">
        <x:v>1</x:v>
      </x:c>
      <x:c r="AD45" s="3" t="n">
        <x:v>1</x:v>
      </x:c>
      <x:c r="AE45" s="3" t="n">
        <x:v>1</x:v>
      </x:c>
      <x:c r="AF45" s="3" t="n">
        <x:v>1</x:v>
      </x:c>
      <x:c r="AG45" s="3" t="n">
        <x:v>1</x:v>
      </x:c>
      <x:c r="AH45" s="3" t="n">
        <x:v>1</x:v>
      </x:c>
      <x:c r="AI45" s="3" t="n">
        <x:v>1</x:v>
      </x:c>
      <x:c r="AJ45" s="3" t="n">
        <x:v>1</x:v>
      </x:c>
    </x:row>
    <x:row r="46" ht="24" hidden="0" customHeight="1">
      <x:c r="A46" s="3" t="str">
        <x:v>radix_primitives</x:v>
      </x:c>
      <x:c r="B46" s="3" t="str">
        <x:v>Radix Primitives</x:v>
      </x:c>
      <x:c r="C46" s="3" t="str">
        <x:v>Accessible primitives</x:v>
      </x:c>
      <x:c r="D46" s="3" t="str">
        <x:v>situational</x:v>
      </x:c>
      <x:c r="E46" s="23" t="n">
        <x:f>INDEX(AA46:AJ46,1,MATCH('Choose a resource'!$B$3,$AA$1:$AJ$1,0))</x:f>
        <x:v>2</x:v>
      </x:c>
      <x:c r="F46" s="22" t="n">
        <x:f>IF(SUMIFS('Choose a resource'!$B$11:$I$11,I46:P46,"&gt;=1")=0,"",ROUND(100*SUMPRODUCT(I46:P46,'Choose a resource'!$B$11:$I$11)/(5*SUMIFS('Choose a resource'!$B$11:$I$11,I46:P46,"&gt;=1")),1))</x:f>
        <x:v>89</x:v>
      </x:c>
      <x:c r="G46" s="23" t="str">
        <x:f>IF(F46="","no applicable weights",IF(E46=0,"outside scenario",IF(AND('Choose a resource'!$B$4&lt;&gt;"All",C46&lt;&gt;'Choose a resource'!$B$4),"other role",IF(R46="dependency_scope_review","scope review",IF(AND(D46="watch",'Choose a resource'!$B$6&lt;&gt;"Yes"),"watch excluded","candidate")))))</x:f>
        <x:v>other role</x:v>
      </x:c>
      <x:c r="H46" s="23" t="str">
        <x:f>IF(G46&lt;&gt;"candidate","",1+COUNTIFS($C$2:$C$63,C46,$G$2:$G$63,"candidate",$E$2:$E$63,"&gt;"&amp;E46)+COUNTIFS($C$2:$C$63,C46,$G$2:$G$63,"candidate",$E$2:$E$63,E46,$F$2:$F$63,"&gt;"&amp;F46))</x:f>
      </x:c>
      <x:c r="I46" s="23" t="n">
        <x:v>4</x:v>
      </x:c>
      <x:c r="J46" s="23" t="n">
        <x:v>5</x:v>
      </x:c>
      <x:c r="K46" s="23" t="n">
        <x:v>4</x:v>
      </x:c>
      <x:c r="L46" s="23" t="n">
        <x:v>4</x:v>
      </x:c>
      <x:c r="M46" s="23" t="n">
        <x:v>5</x:v>
      </x:c>
      <x:c r="N46" s="23" t="n">
        <x:v>5</x:v>
      </x:c>
      <x:c r="O46" s="23" t="n">
        <x:v>5</x:v>
      </x:c>
      <x:c r="P46" s="23" t="n">
        <x:v>4</x:v>
      </x:c>
      <x:c r="Q46" s="3" t="str">
        <x:v>medium</x:v>
      </x:c>
      <x:c r="R46" s="3" t="str">
        <x:v>qualified_named_core_scope</x:v>
      </x:c>
      <x:c r="S46" s="3" t="str">
        <x:v>documented</x:v>
      </x:c>
      <x:c r="T46" s="3" t="str">
        <x:v>Choose established headless React overlays and control patterns when their model matches your app.</x:v>
      </x:c>
      <x:c r="U46" s="3" t="str">
        <x:v>Review project health per package and copied cmdk/Vaul dependencies rather than assuming the whole ecosystem is active.</x:v>
      </x:c>
      <x:c r="V46" s="3" t="str">
        <x:v>Base UI; React Aria Components; Ark UI</x:v>
      </x:c>
      <x:c r="W46" s="3" t="str">
        <x:v>https://www.radix-ui.com/primitives/docs/components/navigation-menu</x:v>
      </x:c>
      <x:c r="X46" s="3" t="str">
        <x:v>Editorial: navigation menu preview shows refined layered composition; supplied styling is optional.</x:v>
      </x:c>
      <x:c r="Y46" s="3" t="str">
        <x:v>https://www.radix-ui.com/primitives</x:v>
      </x:c>
      <x:c r="Z46" s="3" t="str">
        <x:v>Integration documentation; this link is guidance, not an additional live demonstration.</x:v>
      </x:c>
      <x:c r="AA46" s="3" t="n">
        <x:v>2</x:v>
      </x:c>
      <x:c r="AB46" s="3" t="n">
        <x:v>2</x:v>
      </x:c>
      <x:c r="AC46" s="3" t="n">
        <x:v>2</x:v>
      </x:c>
      <x:c r="AD46" s="3" t="n">
        <x:v>2</x:v>
      </x:c>
      <x:c r="AE46" s="3" t="n">
        <x:v>2</x:v>
      </x:c>
      <x:c r="AF46" s="3" t="n">
        <x:v>2</x:v>
      </x:c>
      <x:c r="AG46" s="3" t="n">
        <x:v>2</x:v>
      </x:c>
      <x:c r="AH46" s="3" t="n">
        <x:v>2</x:v>
      </x:c>
      <x:c r="AI46" s="3" t="n">
        <x:v>2</x:v>
      </x:c>
      <x:c r="AJ46" s="3" t="n">
        <x:v>2</x:v>
      </x:c>
    </x:row>
    <x:row r="47" ht="24" hidden="0" customHeight="1">
      <x:c r="A47" s="3" t="str">
        <x:v>react-grid-layout</x:v>
      </x:c>
      <x:c r="B47" s="3" t="str">
        <x:v>React Grid Layout</x:v>
      </x:c>
      <x:c r="C47" s="3" t="str">
        <x:v>Workspace layout</x:v>
      </x:c>
      <x:c r="D47" s="3" t="str">
        <x:v>situational</x:v>
      </x:c>
      <x:c r="E47" s="23" t="n">
        <x:f>INDEX(AA47:AJ47,1,MATCH('Choose a resource'!$B$3,$AA$1:$AJ$1,0))</x:f>
        <x:v>2</x:v>
      </x:c>
      <x:c r="F47" s="22" t="n">
        <x:f>IF(SUMIFS('Choose a resource'!$B$11:$I$11,I47:P47,"&gt;=1")=0,"",ROUND(100*SUMPRODUCT(I47:P47,'Choose a resource'!$B$11:$I$11)/(5*SUMIFS('Choose a resource'!$B$11:$I$11,I47:P47,"&gt;=1")),1))</x:f>
        <x:v>75</x:v>
      </x:c>
      <x:c r="G47" s="23" t="str">
        <x:f>IF(F47="","no applicable weights",IF(E47=0,"outside scenario",IF(AND('Choose a resource'!$B$4&lt;&gt;"All",C47&lt;&gt;'Choose a resource'!$B$4),"other role",IF(R47="dependency_scope_review","scope review",IF(AND(D47="watch",'Choose a resource'!$B$6&lt;&gt;"Yes"),"watch excluded","candidate")))))</x:f>
        <x:v>other role</x:v>
      </x:c>
      <x:c r="H47" s="23" t="str">
        <x:f>IF(G47&lt;&gt;"candidate","",1+COUNTIFS($C$2:$C$63,C47,$G$2:$G$63,"candidate",$E$2:$E$63,"&gt;"&amp;E47)+COUNTIFS($C$2:$C$63,C47,$G$2:$G$63,"candidate",$E$2:$E$63,E47,$F$2:$F$63,"&gt;"&amp;F47))</x:f>
      </x:c>
      <x:c r="I47" s="23" t="n">
        <x:v>3</x:v>
      </x:c>
      <x:c r="J47" s="23" t="n">
        <x:v>5</x:v>
      </x:c>
      <x:c r="K47" s="23" t="n">
        <x:v>2</x:v>
      </x:c>
      <x:c r="L47" s="23" t="n">
        <x:v>4</x:v>
      </x:c>
      <x:c r="M47" s="23" t="n">
        <x:v>5</x:v>
      </x:c>
      <x:c r="N47" s="23" t="n">
        <x:v>4</x:v>
      </x:c>
      <x:c r="O47" s="23" t="n">
        <x:v>4</x:v>
      </x:c>
      <x:c r="P47" s="23" t="n">
        <x:v>3</x:v>
      </x:c>
      <x:c r="Q47" s="3" t="str">
        <x:v>medium</x:v>
      </x:c>
      <x:c r="R47" s="3" t="str">
        <x:v>qualified_named_core_scope</x:v>
      </x:c>
      <x:c r="S47" s="3" t="str">
        <x:v>documented</x:v>
      </x:c>
      <x:c r="T47" s="3" t="str">
        <x:v>Choose movable/resizable dashboard tiles with saved layout and explicit drag affordances.</x:v>
      </x:c>
      <x:c r="U47" s="3" t="str">
        <x:v>It does not implement dockable tab groups; keyboard layout editing needs deliberate work.</x:v>
      </x:c>
      <x:c r="V47" s="3" t="str">
        <x:v>Dockview (MIT core); react-resizable-panels</x:v>
      </x:c>
      <x:c r="W47" s="3" t="str">
        <x:v>https://react-grid-layout.github.io/react-grid-layout/examples/0-showcase.html</x:v>
      </x:c>
      <x:c r="X47" s="3" t="str">
        <x:v>Layout primitive: official showcase demonstrates resizing/reordering; visual polish comes from card contents, not library styling.</x:v>
      </x:c>
      <x:c r="Y47" s="3" t="str">
        <x:v>https://github.com/react-grid-layout/react-grid-layout</x:v>
      </x:c>
      <x:c r="Z47" s="3" t="str">
        <x:v>Integration documentation; this link is guidance, not an additional live demonstration.</x:v>
      </x:c>
      <x:c r="AA47" s="3" t="n">
        <x:v>0</x:v>
      </x:c>
      <x:c r="AB47" s="3" t="n">
        <x:v>2</x:v>
      </x:c>
      <x:c r="AC47" s="3" t="n">
        <x:v>2</x:v>
      </x:c>
      <x:c r="AD47" s="3" t="n">
        <x:v>0</x:v>
      </x:c>
      <x:c r="AE47" s="3" t="n">
        <x:v>0</x:v>
      </x:c>
      <x:c r="AF47" s="3" t="n">
        <x:v>0</x:v>
      </x:c>
      <x:c r="AG47" s="3" t="n">
        <x:v>0</x:v>
      </x:c>
      <x:c r="AH47" s="3" t="n">
        <x:v>0</x:v>
      </x:c>
      <x:c r="AI47" s="3" t="n">
        <x:v>0</x:v>
      </x:c>
      <x:c r="AJ47" s="3" t="n">
        <x:v>2</x:v>
      </x:c>
    </x:row>
    <x:row r="48" ht="15" hidden="0" customHeight="1">
      <x:c r="A48" s="3" t="str">
        <x:v>react_resizable_panels</x:v>
      </x:c>
      <x:c r="B48" s="3" t="str">
        <x:v>react-resizable-panels</x:v>
      </x:c>
      <x:c r="C48" s="3" t="str">
        <x:v>Workspace layout</x:v>
      </x:c>
      <x:c r="D48" s="3" t="str">
        <x:v>situational</x:v>
      </x:c>
      <x:c r="E48" s="23" t="n">
        <x:f>INDEX(AA48:AJ48,1,MATCH('Choose a resource'!$B$3,$AA$1:$AJ$1,0))</x:f>
        <x:v>2</x:v>
      </x:c>
      <x:c r="F48" s="22" t="n">
        <x:f>IF(SUMIFS('Choose a resource'!$B$11:$I$11,I48:P48,"&gt;=1")=0,"",ROUND(100*SUMPRODUCT(I48:P48,'Choose a resource'!$B$11:$I$11)/(5*SUMIFS('Choose a resource'!$B$11:$I$11,I48:P48,"&gt;=1")),1))</x:f>
        <x:v>84</x:v>
      </x:c>
      <x:c r="G48" s="23" t="str">
        <x:f>IF(F48="","no applicable weights",IF(E48=0,"outside scenario",IF(AND('Choose a resource'!$B$4&lt;&gt;"All",C48&lt;&gt;'Choose a resource'!$B$4),"other role",IF(R48="dependency_scope_review","scope review",IF(AND(D48="watch",'Choose a resource'!$B$6&lt;&gt;"Yes"),"watch excluded","candidate")))))</x:f>
        <x:v>other role</x:v>
      </x:c>
      <x:c r="H48" s="23" t="str">
        <x:f>IF(G48&lt;&gt;"candidate","",1+COUNTIFS($C$2:$C$63,C48,$G$2:$G$63,"candidate",$E$2:$E$63,"&gt;"&amp;E48)+COUNTIFS($C$2:$C$63,C48,$G$2:$G$63,"candidate",$E$2:$E$63,E48,$F$2:$F$63,"&gt;"&amp;F48))</x:f>
      </x:c>
      <x:c r="I48" s="23" t="n">
        <x:v>4</x:v>
      </x:c>
      <x:c r="J48" s="23" t="n">
        <x:v>4</x:v>
      </x:c>
      <x:c r="K48" s="23" t="n">
        <x:v>4</x:v>
      </x:c>
      <x:c r="L48" s="23" t="n">
        <x:v>4</x:v>
      </x:c>
      <x:c r="M48" s="23" t="n">
        <x:v>5</x:v>
      </x:c>
      <x:c r="N48" s="23" t="n">
        <x:v>4</x:v>
      </x:c>
      <x:c r="O48" s="23" t="n">
        <x:v>4</x:v>
      </x:c>
      <x:c r="P48" s="23" t="n">
        <x:v>5</x:v>
      </x:c>
      <x:c r="Q48" s="3" t="str">
        <x:v>low</x:v>
      </x:c>
      <x:c r="R48" s="3" t="str">
        <x:v>qualified_named_core_scope</x:v>
      </x:c>
      <x:c r="S48" s="3" t="str">
        <x:v>documented</x:v>
      </x:c>
      <x:c r="T48" s="3" t="str">
        <x:v>Use for a small number of keyboard-resizable panes and simple saved split positions.</x:v>
      </x:c>
      <x:c r="U48" s="3" t="str">
        <x:v>Choose Dockview when users need docking, tab groups or a full workspace model.</x:v>
      </x:c>
      <x:c r="V48" s="3" t="str">
        <x:v>Dockview (MIT core); React Grid Layout</x:v>
      </x:c>
      <x:c r="W48" s="3" t="str">
        <x:v>https://react-resizable-panels.vercel.app/</x:v>
      </x:c>
      <x:c r="X48" s="3" t="str">
        <x:v>Editorial estimate from official example surface; choose custom panel chrome to match the app.</x:v>
      </x:c>
      <x:c r="Y48" s="3" t="str">
        <x:v>https://react-resizable-panels.vercel.app/</x:v>
      </x:c>
      <x:c r="Z48" s="3" t="str">
        <x:v>Integration documentation; this link is guidance, not an additional live demonstration.</x:v>
      </x:c>
      <x:c r="AA48" s="3" t="n">
        <x:v>0</x:v>
      </x:c>
      <x:c r="AB48" s="3" t="n">
        <x:v>2</x:v>
      </x:c>
      <x:c r="AC48" s="3" t="n">
        <x:v>2</x:v>
      </x:c>
      <x:c r="AD48" s="3" t="n">
        <x:v>0</x:v>
      </x:c>
      <x:c r="AE48" s="3" t="n">
        <x:v>0</x:v>
      </x:c>
      <x:c r="AF48" s="3" t="n">
        <x:v>2</x:v>
      </x:c>
      <x:c r="AG48" s="3" t="n">
        <x:v>2</x:v>
      </x:c>
      <x:c r="AH48" s="3" t="n">
        <x:v>2</x:v>
      </x:c>
      <x:c r="AI48" s="3" t="n">
        <x:v>2</x:v>
      </x:c>
      <x:c r="AJ48" s="3" t="n">
        <x:v>2</x:v>
      </x:c>
    </x:row>
    <x:row r="49" ht="24" hidden="0" customHeight="1">
      <x:c r="A49" s="3" t="str">
        <x:v>schedule-x</x:v>
      </x:c>
      <x:c r="B49" s="3" t="str">
        <x:v>Schedule-X core</x:v>
      </x:c>
      <x:c r="C49" s="3" t="str">
        <x:v>Scheduling</x:v>
      </x:c>
      <x:c r="D49" s="3" t="str">
        <x:v>situational</x:v>
      </x:c>
      <x:c r="E49" s="23" t="n">
        <x:f>INDEX(AA49:AJ49,1,MATCH('Choose a resource'!$B$3,$AA$1:$AJ$1,0))</x:f>
        <x:v>2</x:v>
      </x:c>
      <x:c r="F49" s="22" t="n">
        <x:f>IF(SUMIFS('Choose a resource'!$B$11:$I$11,I49:P49,"&gt;=1")=0,"",ROUND(100*SUMPRODUCT(I49:P49,'Choose a resource'!$B$11:$I$11)/(5*SUMIFS('Choose a resource'!$B$11:$I$11,I49:P49,"&gt;=1")),1))</x:f>
        <x:v>80</x:v>
      </x:c>
      <x:c r="G49" s="23" t="str">
        <x:f>IF(F49="","no applicable weights",IF(E49=0,"outside scenario",IF(AND('Choose a resource'!$B$4&lt;&gt;"All",C49&lt;&gt;'Choose a resource'!$B$4),"other role",IF(R49="dependency_scope_review","scope review",IF(AND(D49="watch",'Choose a resource'!$B$6&lt;&gt;"Yes"),"watch excluded","candidate")))))</x:f>
        <x:v>other role</x:v>
      </x:c>
      <x:c r="H49" s="23" t="str">
        <x:f>IF(G49&lt;&gt;"candidate","",1+COUNTIFS($C$2:$C$63,C49,$G$2:$G$63,"candidate",$E$2:$E$63,"&gt;"&amp;E49)+COUNTIFS($C$2:$C$63,C49,$G$2:$G$63,"candidate",$E$2:$E$63,E49,$F$2:$F$63,"&gt;"&amp;F49))</x:f>
      </x:c>
      <x:c r="I49" s="23" t="n">
        <x:v>4</x:v>
      </x:c>
      <x:c r="J49" s="23" t="n">
        <x:v>4</x:v>
      </x:c>
      <x:c r="K49" s="23" t="n">
        <x:v>3</x:v>
      </x:c>
      <x:c r="L49" s="23" t="n">
        <x:v>4</x:v>
      </x:c>
      <x:c r="M49" s="23" t="n">
        <x:v>5</x:v>
      </x:c>
      <x:c r="N49" s="23" t="n">
        <x:v>4</x:v>
      </x:c>
      <x:c r="O49" s="23" t="n">
        <x:v>4</x:v>
      </x:c>
      <x:c r="P49" s="23" t="n">
        <x:v>4</x:v>
      </x:c>
      <x:c r="Q49" s="3" t="str">
        <x:v>medium</x:v>
      </x:c>
      <x:c r="R49" s="3" t="str">
        <x:v>qualified_named_core_scope</x:v>
      </x:c>
      <x:c r="S49" s="3" t="str">
        <x:v>documented</x:v>
      </x:c>
      <x:c r="T49" s="3" t="str">
        <x:v>Choose a modern calendar surface when its free-core views and framework adapters cover the brief.</x:v>
      </x:c>
      <x:c r="U49" s="3" t="str">
        <x:v>Check drag/resize, recurrence and premium plugin boundaries before committing.</x:v>
      </x:c>
      <x:c r="V49" s="3" t="str">
        <x:v>FullCalendar Standard</x:v>
      </x:c>
      <x:c r="W49" s="3" t="str">
        <x:v>https://schedule-x.dev/</x:v>
      </x:c>
      <x:c r="X49" s="3" t="str">
        <x:v>Live browser visual review 2026-10-17: week calendar with overlapping event cards; homepage demo contains premium interactions, excluded from OSS capability rating.</x:v>
      </x:c>
      <x:c r="Y49" s="3" t="str">
        <x:v>https://schedule-x.dev/docs/calendar</x:v>
      </x:c>
      <x:c r="Z49" s="3" t="str">
        <x:v>Integration documentation; this link is guidance, not an additional live demonstration.</x:v>
      </x:c>
      <x:c r="AA49" s="3" t="n">
        <x:v>0</x:v>
      </x:c>
      <x:c r="AB49" s="3" t="n">
        <x:v>2</x:v>
      </x:c>
      <x:c r="AC49" s="3" t="n">
        <x:v>0</x:v>
      </x:c>
      <x:c r="AD49" s="3" t="n">
        <x:v>0</x:v>
      </x:c>
      <x:c r="AE49" s="3" t="n">
        <x:v>0</x:v>
      </x:c>
      <x:c r="AF49" s="3" t="n">
        <x:v>0</x:v>
      </x:c>
      <x:c r="AG49" s="3" t="n">
        <x:v>0</x:v>
      </x:c>
      <x:c r="AH49" s="3" t="n">
        <x:v>0</x:v>
      </x:c>
      <x:c r="AI49" s="3" t="n">
        <x:v>0</x:v>
      </x:c>
      <x:c r="AJ49" s="3" t="n">
        <x:v>2</x:v>
      </x:c>
    </x:row>
    <x:row r="50" ht="24" hidden="0" customHeight="1">
      <x:c r="A50" s="3" t="str">
        <x:v>wavesurfer</x:v>
      </x:c>
      <x:c r="B50" s="3" t="str">
        <x:v>wavesurfer.js</x:v>
      </x:c>
      <x:c r="C50" s="3" t="str">
        <x:v>Audio waveform</x:v>
      </x:c>
      <x:c r="D50" s="3" t="str">
        <x:v>situational</x:v>
      </x:c>
      <x:c r="E50" s="23" t="n">
        <x:f>INDEX(AA50:AJ50,1,MATCH('Choose a resource'!$B$3,$AA$1:$AJ$1,0))</x:f>
        <x:v>0</x:v>
      </x:c>
      <x:c r="F50" s="22" t="n">
        <x:f>IF(SUMIFS('Choose a resource'!$B$11:$I$11,I50:P50,"&gt;=1")=0,"",ROUND(100*SUMPRODUCT(I50:P50,'Choose a resource'!$B$11:$I$11)/(5*SUMIFS('Choose a resource'!$B$11:$I$11,I50:P50,"&gt;=1")),1))</x:f>
        <x:v>71</x:v>
      </x:c>
      <x:c r="G50" s="23" t="str">
        <x:f>IF(F50="","no applicable weights",IF(E50=0,"outside scenario",IF(AND('Choose a resource'!$B$4&lt;&gt;"All",C50&lt;&gt;'Choose a resource'!$B$4),"other role",IF(R50="dependency_scope_review","scope review",IF(AND(D50="watch",'Choose a resource'!$B$6&lt;&gt;"Yes"),"watch excluded","candidate")))))</x:f>
        <x:v>outside scenario</x:v>
      </x:c>
      <x:c r="H50" s="23" t="str">
        <x:f>IF(G50&lt;&gt;"candidate","",1+COUNTIFS($C$2:$C$63,C50,$G$2:$G$63,"candidate",$E$2:$E$63,"&gt;"&amp;E50)+COUNTIFS($C$2:$C$63,C50,$G$2:$G$63,"candidate",$E$2:$E$63,E50,$F$2:$F$63,"&gt;"&amp;F50))</x:f>
      </x:c>
      <x:c r="I50" s="23" t="n">
        <x:v>3</x:v>
      </x:c>
      <x:c r="J50" s="23" t="n">
        <x:v>5</x:v>
      </x:c>
      <x:c r="K50" s="23" t="n">
        <x:v>2</x:v>
      </x:c>
      <x:c r="L50" s="23" t="n">
        <x:v>4</x:v>
      </x:c>
      <x:c r="M50" s="23" t="n">
        <x:v>3</x:v>
      </x:c>
      <x:c r="N50" s="23" t="n">
        <x:v>5</x:v>
      </x:c>
      <x:c r="O50" s="23" t="n">
        <x:v>4</x:v>
      </x:c>
      <x:c r="P50" s="23" t="n">
        <x:v>3</x:v>
      </x:c>
      <x:c r="Q50" s="3" t="str">
        <x:v>medium</x:v>
      </x:c>
      <x:c r="R50" s="3" t="str">
        <x:v>qualified_named_core_scope</x:v>
      </x:c>
      <x:c r="S50" s="3" t="str">
        <x:v>provisional</x:v>
      </x:c>
      <x:c r="T50" s="3" t="str">
        <x:v>Use for audio waveform display, regions and seek/selection interaction within a media tool.</x:v>
      </x:c>
      <x:c r="U50" s="3" t="str">
        <x:v>It is not a frame-accurate multitrack video editing/export engine.</x:v>
      </x:c>
      <x:c r="V50" s="3" t="str">
        <x:v>OpenReel Video (MIT application)</x:v>
      </x:c>
      <x:c r="W50" s="3" t="str">
        <x:v>https://wavesurfer.xyz/examples/?regions.js</x:v>
      </x:c>
      <x:c r="X50" s="3" t="str">
        <x:v>Official region editor inspected in browser; sample audio waveform did not load during the session. Primitive capability rating is provisional.</x:v>
      </x:c>
      <x:c r="Y50" s="3" t="str">
        <x:v>https://wavesurfer.xyz/docs/</x:v>
      </x:c>
      <x:c r="Z50" s="3" t="str">
        <x:v>Integration documentation; this link is guidance, not an additional live demonstration.</x:v>
      </x:c>
      <x:c r="AA50" s="3" t="n">
        <x:v>0</x:v>
      </x:c>
      <x:c r="AB50" s="3" t="n">
        <x:v>0</x:v>
      </x:c>
      <x:c r="AC50" s="3" t="n">
        <x:v>0</x:v>
      </x:c>
      <x:c r="AD50" s="3" t="n">
        <x:v>0</x:v>
      </x:c>
      <x:c r="AE50" s="3" t="n">
        <x:v>0</x:v>
      </x:c>
      <x:c r="AF50" s="3" t="n">
        <x:v>0</x:v>
      </x:c>
      <x:c r="AG50" s="3" t="n">
        <x:v>0</x:v>
      </x:c>
      <x:c r="AH50" s="3" t="n">
        <x:v>2</x:v>
      </x:c>
      <x:c r="AI50" s="3" t="n">
        <x:v>0</x:v>
      </x:c>
      <x:c r="AJ50" s="3" t="n">
        <x:v>0</x:v>
      </x:c>
    </x:row>
    <x:row r="51" ht="24" hidden="0" customHeight="1">
      <x:c r="A51" s="3" t="str">
        <x:v>openreel-video</x:v>
      </x:c>
      <x:c r="B51" s="3" t="str">
        <x:v>OpenReel Video (MIT application)</x:v>
      </x:c>
      <x:c r="C51" s="3" t="str">
        <x:v>Media editor application</x:v>
      </x:c>
      <x:c r="D51" s="3" t="str">
        <x:v>watch</x:v>
      </x:c>
      <x:c r="E51" s="23" t="n">
        <x:f>INDEX(AA51:AJ51,1,MATCH('Choose a resource'!$B$3,$AA$1:$AJ$1,0))</x:f>
        <x:v>0</x:v>
      </x:c>
      <x:c r="F51" s="22" t="n">
        <x:f>IF(SUMIFS('Choose a resource'!$B$11:$I$11,I51:P51,"&gt;=1")=0,"",ROUND(100*SUMPRODUCT(I51:P51,'Choose a resource'!$B$11:$I$11)/(5*SUMIFS('Choose a resource'!$B$11:$I$11,I51:P51,"&gt;=1")),1))</x:f>
        <x:v>64</x:v>
      </x:c>
      <x:c r="G51" s="23" t="str">
        <x:f>IF(F51="","no applicable weights",IF(E51=0,"outside scenario",IF(AND('Choose a resource'!$B$4&lt;&gt;"All",C51&lt;&gt;'Choose a resource'!$B$4),"other role",IF(R51="dependency_scope_review","scope review",IF(AND(D51="watch",'Choose a resource'!$B$6&lt;&gt;"Yes"),"watch excluded","candidate")))))</x:f>
        <x:v>outside scenario</x:v>
      </x:c>
      <x:c r="H51" s="23" t="str">
        <x:f>IF(G51&lt;&gt;"candidate","",1+COUNTIFS($C$2:$C$63,C51,$G$2:$G$63,"candidate",$E$2:$E$63,"&gt;"&amp;E51)+COUNTIFS($C$2:$C$63,C51,$G$2:$G$63,"candidate",$E$2:$E$63,E51,$F$2:$F$63,"&gt;"&amp;F51))</x:f>
      </x:c>
      <x:c r="I51" s="23" t="n">
        <x:v>4</x:v>
      </x:c>
      <x:c r="J51" s="23" t="n">
        <x:v>5</x:v>
      </x:c>
      <x:c r="K51" s="23" t="n">
        <x:v>2</x:v>
      </x:c>
      <x:c r="L51" s="23" t="n">
        <x:v>3</x:v>
      </x:c>
      <x:c r="M51" s="23" t="n">
        <x:v>3</x:v>
      </x:c>
      <x:c r="N51" s="23" t="n">
        <x:v>3</x:v>
      </x:c>
      <x:c r="O51" s="23" t="n">
        <x:v>2</x:v>
      </x:c>
      <x:c r="P51" s="23" t="n">
        <x:v>1</x:v>
      </x:c>
      <x:c r="Q51" s="3" t="str">
        <x:v>high</x:v>
      </x:c>
      <x:c r="R51" s="3" t="str">
        <x:v>dependency_scope_review</x:v>
      </x:c>
      <x:c r="S51" s="3" t="str">
        <x:v>provisional</x:v>
      </x:c>
      <x:c r="T51" s="3" t="str">
        <x:v>Study or adapt the complete editor when its timeline, panels and reversible AI workflow match the brief.</x:v>
      </x:c>
      <x:c r="U51" s="3" t="str">
        <x:v>Treat as a watch candidate; review MediaBunny MPL and exact FFmpeg binaries before distribution.</x:v>
      </x:c>
      <x:c r="V51" s="3" t="str">
        <x:v>wavesurfer.js; Konva</x:v>
      </x:c>
      <x:c r="W51" s="3" t="str">
        <x:v>https://app.openreel.video/#/editor</x:v>
      </x:c>
      <x:c r="X51" s="3" t="str">
        <x:v>Live empty editor inspected: onboarding, tool rail, resizable media/preview/inspector panels, timecode controls, track-size and snapping controls. No media was imported or export measured.</x:v>
      </x:c>
      <x:c r="Y51" s="3" t="str">
        <x:v>https://github.com/Augani/openreel-video/blob/main/README.md</x:v>
      </x:c>
      <x:c r="Z51" s="3" t="str">
        <x:v>Integration documentation; this link is guidance, not an additional live demonstration.</x:v>
      </x:c>
      <x:c r="AA51" s="3" t="n">
        <x:v>0</x:v>
      </x:c>
      <x:c r="AB51" s="3" t="n">
        <x:v>0</x:v>
      </x:c>
      <x:c r="AC51" s="3" t="n">
        <x:v>0</x:v>
      </x:c>
      <x:c r="AD51" s="3" t="n">
        <x:v>0</x:v>
      </x:c>
      <x:c r="AE51" s="3" t="n">
        <x:v>0</x:v>
      </x:c>
      <x:c r="AF51" s="3" t="n">
        <x:v>0</x:v>
      </x:c>
      <x:c r="AG51" s="3" t="n">
        <x:v>0</x:v>
      </x:c>
      <x:c r="AH51" s="3" t="n">
        <x:v>3</x:v>
      </x:c>
      <x:c r="AI51" s="3" t="n">
        <x:v>0</x:v>
      </x:c>
      <x:c r="AJ51" s="3" t="n">
        <x:v>1</x:v>
      </x:c>
    </x:row>
    <x:row r="52" ht="15" hidden="0" customHeight="1">
      <x:c r="A52" s="3" t="str">
        <x:v>nuqs</x:v>
      </x:c>
      <x:c r="B52" s="3" t="str">
        <x:v>nuqs</x:v>
      </x:c>
      <x:c r="C52" s="3" t="str">
        <x:v>URL state</x:v>
      </x:c>
      <x:c r="D52" s="3" t="str">
        <x:v>core</x:v>
      </x:c>
      <x:c r="E52" s="23" t="n">
        <x:f>INDEX(AA52:AJ52,1,MATCH('Choose a resource'!$B$3,$AA$1:$AJ$1,0))</x:f>
        <x:v>1</x:v>
      </x:c>
      <x:c r="F52" s="22" t="n">
        <x:f>IF(SUMIFS('Choose a resource'!$B$11:$I$11,I52:P52,"&gt;=1")=0,"",ROUND(100*SUMPRODUCT(I52:P52,'Choose a resource'!$B$11:$I$11)/(5*SUMIFS('Choose a resource'!$B$11:$I$11,I52:P52,"&gt;=1")),1))</x:f>
        <x:v>89.2</x:v>
      </x:c>
      <x:c r="G52" s="23" t="str">
        <x:f>IF(F52="","no applicable weights",IF(E52=0,"outside scenario",IF(AND('Choose a resource'!$B$4&lt;&gt;"All",C52&lt;&gt;'Choose a resource'!$B$4),"other role",IF(R52="dependency_scope_review","scope review",IF(AND(D52="watch",'Choose a resource'!$B$6&lt;&gt;"Yes"),"watch excluded","candidate")))))</x:f>
        <x:v>other role</x:v>
      </x:c>
      <x:c r="H52" s="23" t="str">
        <x:f>IF(G52&lt;&gt;"candidate","",1+COUNTIFS($C$2:$C$63,C52,$G$2:$G$63,"candidate",$E$2:$E$63,"&gt;"&amp;E52)+COUNTIFS($C$2:$C$63,C52,$G$2:$G$63,"candidate",$E$2:$E$63,E52,$F$2:$F$63,"&gt;"&amp;F52))</x:f>
      </x:c>
      <x:c r="I52" s="23"/>
      <x:c r="J52" s="23" t="n">
        <x:v>4</x:v>
      </x:c>
      <x:c r="K52" s="23"/>
      <x:c r="L52" s="23" t="n">
        <x:v>4</x:v>
      </x:c>
      <x:c r="M52" s="23" t="n">
        <x:v>5</x:v>
      </x:c>
      <x:c r="N52" s="23" t="n">
        <x:v>5</x:v>
      </x:c>
      <x:c r="O52" s="23" t="n">
        <x:v>4</x:v>
      </x:c>
      <x:c r="P52" s="23" t="n">
        <x:v>5</x:v>
      </x:c>
      <x:c r="Q52" s="3" t="str">
        <x:v>low</x:v>
      </x:c>
      <x:c r="R52" s="3" t="str">
        <x:v>qualified_named_core_scope</x:v>
      </x:c>
      <x:c r="S52" s="3" t="str">
        <x:v>documented</x:v>
      </x:c>
      <x:c r="T52" s="3" t="str">
        <x:v>Use when dashboard filters, tabs and search state should be typed, shareable and restored from the URL.</x:v>
      </x:c>
      <x:c r="U52" s="3" t="str">
        <x:v>It does not replace server data caching, a full search backend or complex form validation.</x:v>
      </x:c>
      <x:c r="V52" s="3" t="str">
        <x:v>TanStack Query</x:v>
      </x:c>
      <x:c r="W52" s="3" t="str">
        <x:v>https://nuqs.dev/playground/pagination</x:v>
      </x:c>
      <x:c r="X52" s="3" t="str">
        <x:v>Switch server/client pagination controls, add fake fetch delay and navigate page state.</x:v>
      </x:c>
      <x:c r="Y52" s="3" t="str">
        <x:v>https://nuqs.dev/playground</x:v>
      </x:c>
      <x:c r="Z52" s="3" t="str">
        <x:v>Tic Tac Toe stores moves in the URL so browser Back/Forward undo/redo them.</x:v>
      </x:c>
      <x:c r="AA52" s="3" t="n">
        <x:v>0</x:v>
      </x:c>
      <x:c r="AB52" s="3" t="n">
        <x:v>1</x:v>
      </x:c>
      <x:c r="AC52" s="3" t="n">
        <x:v>1</x:v>
      </x:c>
      <x:c r="AD52" s="3" t="n">
        <x:v>1</x:v>
      </x:c>
      <x:c r="AE52" s="3" t="n">
        <x:v>0</x:v>
      </x:c>
      <x:c r="AF52" s="3" t="n">
        <x:v>0</x:v>
      </x:c>
      <x:c r="AG52" s="3" t="n">
        <x:v>0</x:v>
      </x:c>
      <x:c r="AH52" s="3" t="n">
        <x:v>0</x:v>
      </x:c>
      <x:c r="AI52" s="3" t="n">
        <x:v>1</x:v>
      </x:c>
      <x:c r="AJ52" s="3" t="n">
        <x:v>1</x:v>
      </x:c>
    </x:row>
    <x:row r="53" ht="15" hidden="0" customHeight="1">
      <x:c r="A53" s="3" t="str">
        <x:v>ark_ui</x:v>
      </x:c>
      <x:c r="B53" s="3" t="str">
        <x:v>Ark UI</x:v>
      </x:c>
      <x:c r="C53" s="3" t="str">
        <x:v>Accessible primitives</x:v>
      </x:c>
      <x:c r="D53" s="3" t="str">
        <x:v>situational</x:v>
      </x:c>
      <x:c r="E53" s="23" t="n">
        <x:f>INDEX(AA53:AJ53,1,MATCH('Choose a resource'!$B$3,$AA$1:$AJ$1,0))</x:f>
        <x:v>2</x:v>
      </x:c>
      <x:c r="F53" s="22" t="n">
        <x:f>IF(SUMIFS('Choose a resource'!$B$11:$I$11,I53:P53,"&gt;=1")=0,"",ROUND(100*SUMPRODUCT(I53:P53,'Choose a resource'!$B$11:$I$11)/(5*SUMIFS('Choose a resource'!$B$11:$I$11,I53:P53,"&gt;=1")),1))</x:f>
        <x:v>87</x:v>
      </x:c>
      <x:c r="G53" s="23" t="str">
        <x:f>IF(F53="","no applicable weights",IF(E53=0,"outside scenario",IF(AND('Choose a resource'!$B$4&lt;&gt;"All",C53&lt;&gt;'Choose a resource'!$B$4),"other role",IF(R53="dependency_scope_review","scope review",IF(AND(D53="watch",'Choose a resource'!$B$6&lt;&gt;"Yes"),"watch excluded","candidate")))))</x:f>
        <x:v>other role</x:v>
      </x:c>
      <x:c r="H53" s="23" t="str">
        <x:f>IF(G53&lt;&gt;"candidate","",1+COUNTIFS($C$2:$C$63,C53,$G$2:$G$63,"candidate",$E$2:$E$63,"&gt;"&amp;E53)+COUNTIFS($C$2:$C$63,C53,$G$2:$G$63,"candidate",$E$2:$E$63,E53,$F$2:$F$63,"&gt;"&amp;F53))</x:f>
      </x:c>
      <x:c r="I53" s="23" t="n">
        <x:v>4</x:v>
      </x:c>
      <x:c r="J53" s="23" t="n">
        <x:v>5</x:v>
      </x:c>
      <x:c r="K53" s="23" t="n">
        <x:v>4</x:v>
      </x:c>
      <x:c r="L53" s="23" t="n">
        <x:v>4</x:v>
      </x:c>
      <x:c r="M53" s="23" t="n">
        <x:v>5</x:v>
      </x:c>
      <x:c r="N53" s="23" t="n">
        <x:v>5</x:v>
      </x:c>
      <x:c r="O53" s="23" t="n">
        <x:v>4</x:v>
      </x:c>
      <x:c r="P53" s="23" t="n">
        <x:v>3</x:v>
      </x:c>
      <x:c r="Q53" s="3" t="str">
        <x:v>medium</x:v>
      </x:c>
      <x:c r="R53" s="3" t="str">
        <x:v>qualified_named_core_scope</x:v>
      </x:c>
      <x:c r="S53" s="3" t="str">
        <x:v>provisional</x:v>
      </x:c>
      <x:c r="T53" s="3" t="str">
        <x:v>Choose state-machine-based headless controls across React or other supported frameworks.</x:v>
      </x:c>
      <x:c r="U53" s="3" t="str">
        <x:v>Style and test focus behaviour in your actual composition; choose one primitive model for each control.</x:v>
      </x:c>
      <x:c r="V53" s="3" t="str">
        <x:v>Base UI; React Aria Components; Radix Primitives</x:v>
      </x:c>
      <x:c r="W53" s="3" t="str">
        <x:v>https://ark-ui.com/docs/components/tree-view</x:v>
      </x:c>
      <x:c r="X53" s="3" t="str">
        <x:v>Tree selection, lazy children and virtualised traversal examples.</x:v>
      </x:c>
      <x:c r="Y53" s="3" t="str">
        <x:v>https://ark-ui.com/docs/components/file-upload</x:v>
      </x:c>
      <x:c r="Z53" s="3" t="str">
        <x:v>File selection/drop surface, accepted-file list and removal controls.</x:v>
      </x:c>
      <x:c r="AA53" s="3" t="n">
        <x:v>2</x:v>
      </x:c>
      <x:c r="AB53" s="3" t="n">
        <x:v>2</x:v>
      </x:c>
      <x:c r="AC53" s="3" t="n">
        <x:v>2</x:v>
      </x:c>
      <x:c r="AD53" s="3" t="n">
        <x:v>2</x:v>
      </x:c>
      <x:c r="AE53" s="3" t="n">
        <x:v>2</x:v>
      </x:c>
      <x:c r="AF53" s="3" t="n">
        <x:v>2</x:v>
      </x:c>
      <x:c r="AG53" s="3" t="n">
        <x:v>2</x:v>
      </x:c>
      <x:c r="AH53" s="3" t="n">
        <x:v>2</x:v>
      </x:c>
      <x:c r="AI53" s="3" t="n">
        <x:v>2</x:v>
      </x:c>
      <x:c r="AJ53" s="3" t="n">
        <x:v>2</x:v>
      </x:c>
    </x:row>
    <x:row r="54" ht="15" hidden="0" customHeight="1">
      <x:c r="A54" s="3" t="str">
        <x:v>react_querybuilder</x:v>
      </x:c>
      <x:c r="B54" s="3" t="str">
        <x:v>React Query Builder</x:v>
      </x:c>
      <x:c r="C54" s="3" t="str">
        <x:v>Filter builder</x:v>
      </x:c>
      <x:c r="D54" s="3" t="str">
        <x:v>situational</x:v>
      </x:c>
      <x:c r="E54" s="23" t="n">
        <x:f>INDEX(AA54:AJ54,1,MATCH('Choose a resource'!$B$3,$AA$1:$AJ$1,0))</x:f>
        <x:v>2</x:v>
      </x:c>
      <x:c r="F54" s="22" t="n">
        <x:f>IF(SUMIFS('Choose a resource'!$B$11:$I$11,I54:P54,"&gt;=1")=0,"",ROUND(100*SUMPRODUCT(I54:P54,'Choose a resource'!$B$11:$I$11)/(5*SUMIFS('Choose a resource'!$B$11:$I$11,I54:P54,"&gt;=1")),1))</x:f>
        <x:v>80</x:v>
      </x:c>
      <x:c r="G54" s="23" t="str">
        <x:f>IF(F54="","no applicable weights",IF(E54=0,"outside scenario",IF(AND('Choose a resource'!$B$4&lt;&gt;"All",C54&lt;&gt;'Choose a resource'!$B$4),"other role",IF(R54="dependency_scope_review","scope review",IF(AND(D54="watch",'Choose a resource'!$B$6&lt;&gt;"Yes"),"watch excluded","candidate")))))</x:f>
        <x:v>other role</x:v>
      </x:c>
      <x:c r="H54" s="23" t="str">
        <x:f>IF(G54&lt;&gt;"candidate","",1+COUNTIFS($C$2:$C$63,C54,$G$2:$G$63,"candidate",$E$2:$E$63,"&gt;"&amp;E54)+COUNTIFS($C$2:$C$63,C54,$G$2:$G$63,"candidate",$E$2:$E$63,E54,$F$2:$F$63,"&gt;"&amp;F54))</x:f>
      </x:c>
      <x:c r="I54" s="23" t="n">
        <x:v>3</x:v>
      </x:c>
      <x:c r="J54" s="23" t="n">
        <x:v>5</x:v>
      </x:c>
      <x:c r="K54" s="23" t="n">
        <x:v>3</x:v>
      </x:c>
      <x:c r="L54" s="23" t="n">
        <x:v>4</x:v>
      </x:c>
      <x:c r="M54" s="23" t="n">
        <x:v>5</x:v>
      </x:c>
      <x:c r="N54" s="23" t="n">
        <x:v>5</x:v>
      </x:c>
      <x:c r="O54" s="23" t="n">
        <x:v>4</x:v>
      </x:c>
      <x:c r="P54" s="23" t="n">
        <x:v>3</x:v>
      </x:c>
      <x:c r="Q54" s="3" t="str">
        <x:v>medium</x:v>
      </x:c>
      <x:c r="R54" s="3" t="str">
        <x:v>qualified_named_core_scope</x:v>
      </x:c>
      <x:c r="S54" s="3" t="str">
        <x:v>documented</x:v>
      </x:c>
      <x:c r="T54" s="3" t="str">
        <x:v>Use when users compose explicit nested filters/rules that must map to a validated query model.</x:v>
      </x:c>
      <x:c r="U54" s="3" t="str">
        <x:v>It does not supply search indexing or make generated database queries safe on its own.</x:v>
      </x:c>
      <x:c r="V54" s="3" t="str">
        <x:v>TanStack Table; nuqs</x:v>
      </x:c>
      <x:c r="W54" s="3" t="str">
        <x:v>https://react-querybuilder.js.org/demo</x:v>
      </x:c>
      <x:c r="X54" s="3" t="str">
        <x:v>Add nested AND/OR groups and switch/control rule editors.</x:v>
      </x:c>
      <x:c r="Y54" s="3" t="str">
        <x:v>https://react-querybuilder.js.org/docs/compat</x:v>
      </x:c>
      <x:c r="Z54" s="3" t="str">
        <x:v>shadcn registry and compatible UI controls render the same structured query.</x:v>
      </x:c>
      <x:c r="AA54" s="3" t="n">
        <x:v>0</x:v>
      </x:c>
      <x:c r="AB54" s="3" t="n">
        <x:v>2</x:v>
      </x:c>
      <x:c r="AC54" s="3" t="n">
        <x:v>2</x:v>
      </x:c>
      <x:c r="AD54" s="3" t="n">
        <x:v>2</x:v>
      </x:c>
      <x:c r="AE54" s="3" t="n">
        <x:v>0</x:v>
      </x:c>
      <x:c r="AF54" s="3" t="n">
        <x:v>0</x:v>
      </x:c>
      <x:c r="AG54" s="3" t="n">
        <x:v>0</x:v>
      </x:c>
      <x:c r="AH54" s="3" t="n">
        <x:v>0</x:v>
      </x:c>
      <x:c r="AI54" s="3" t="n">
        <x:v>2</x:v>
      </x:c>
      <x:c r="AJ54" s="3" t="n">
        <x:v>2</x:v>
      </x:c>
    </x:row>
    <x:row r="55" ht="24" hidden="0" customHeight="1">
      <x:c r="A55" s="3" t="str">
        <x:v>novu_inbox</x:v>
      </x:c>
      <x:c r="B55" s="3" t="str">
        <x:v>Novu open-core Inbox</x:v>
      </x:c>
      <x:c r="C55" s="3" t="str">
        <x:v>Notification inbox</x:v>
      </x:c>
      <x:c r="D55" s="3" t="str">
        <x:v>situational</x:v>
      </x:c>
      <x:c r="E55" s="23" t="n">
        <x:f>INDEX(AA55:AJ55,1,MATCH('Choose a resource'!$B$3,$AA$1:$AJ$1,0))</x:f>
        <x:v>2</x:v>
      </x:c>
      <x:c r="F55" s="22" t="n">
        <x:f>IF(SUMIFS('Choose a resource'!$B$11:$I$11,I55:P55,"&gt;=1")=0,"",ROUND(100*SUMPRODUCT(I55:P55,'Choose a resource'!$B$11:$I$11)/(5*SUMIFS('Choose a resource'!$B$11:$I$11,I55:P55,"&gt;=1")),1))</x:f>
        <x:v>83</x:v>
      </x:c>
      <x:c r="G55" s="23" t="str">
        <x:f>IF(F55="","no applicable weights",IF(E55=0,"outside scenario",IF(AND('Choose a resource'!$B$4&lt;&gt;"All",C55&lt;&gt;'Choose a resource'!$B$4),"other role",IF(R55="dependency_scope_review","scope review",IF(AND(D55="watch",'Choose a resource'!$B$6&lt;&gt;"Yes"),"watch excluded","candidate")))))</x:f>
        <x:v>other role</x:v>
      </x:c>
      <x:c r="H55" s="23" t="str">
        <x:f>IF(G55&lt;&gt;"candidate","",1+COUNTIFS($C$2:$C$63,C55,$G$2:$G$63,"candidate",$E$2:$E$63,"&gt;"&amp;E55)+COUNTIFS($C$2:$C$63,C55,$G$2:$G$63,"candidate",$E$2:$E$63,E55,$F$2:$F$63,"&gt;"&amp;F55))</x:f>
      </x:c>
      <x:c r="I55" s="23" t="n">
        <x:v>4</x:v>
      </x:c>
      <x:c r="J55" s="23" t="n">
        <x:v>5</x:v>
      </x:c>
      <x:c r="K55" s="23" t="n">
        <x:v>3</x:v>
      </x:c>
      <x:c r="L55" s="23" t="n">
        <x:v>4</x:v>
      </x:c>
      <x:c r="M55" s="23" t="n">
        <x:v>5</x:v>
      </x:c>
      <x:c r="N55" s="23" t="n">
        <x:v>5</x:v>
      </x:c>
      <x:c r="O55" s="23" t="n">
        <x:v>4</x:v>
      </x:c>
      <x:c r="P55" s="23" t="n">
        <x:v>2</x:v>
      </x:c>
      <x:c r="Q55" s="3" t="str">
        <x:v>high</x:v>
      </x:c>
      <x:c r="R55" s="3" t="str">
        <x:v>qualified_named_core_scope</x:v>
      </x:c>
      <x:c r="S55" s="3" t="str">
        <x:v>documented</x:v>
      </x:c>
      <x:c r="T55" s="3" t="str">
        <x:v>Choose an embeddable durable inbox and notification preference/workflow system.</x:v>
      </x:c>
      <x:c r="U55" s="3" t="str">
        <x:v>It brings backend/operational ownership; keep Enterprise packages and paid delivery services outside the MIT assumption.</x:v>
      </x:c>
      <x:c r="V55" s="3" t="str">
        <x:v>Sonner</x:v>
      </x:c>
      <x:c r="W55" s="3" t="str">
        <x:v>https://inbox.novu.co/</x:v>
      </x:c>
      <x:c r="X55" s="3" t="str">
        <x:v>Notification feed with tabs, read/archive actions and preference controls.</x:v>
      </x:c>
      <x:c r="Y55" s="3" t="str">
        <x:v>https://novu.co/inbox/</x:v>
      </x:c>
      <x:c r="Z55" s="3" t="str">
        <x:v>Compare the documented Linear/Notion-style light/dark notification skins.</x:v>
      </x:c>
      <x:c r="AA55" s="3" t="n">
        <x:v>0</x:v>
      </x:c>
      <x:c r="AB55" s="3" t="n">
        <x:v>2</x:v>
      </x:c>
      <x:c r="AC55" s="3" t="n">
        <x:v>0</x:v>
      </x:c>
      <x:c r="AD55" s="3" t="n">
        <x:v>0</x:v>
      </x:c>
      <x:c r="AE55" s="3" t="n">
        <x:v>0</x:v>
      </x:c>
      <x:c r="AF55" s="3" t="n">
        <x:v>0</x:v>
      </x:c>
      <x:c r="AG55" s="3" t="n">
        <x:v>2</x:v>
      </x:c>
      <x:c r="AH55" s="3" t="n">
        <x:v>0</x:v>
      </x:c>
      <x:c r="AI55" s="3" t="n">
        <x:v>0</x:v>
      </x:c>
      <x:c r="AJ55" s="3" t="n">
        <x:v>2</x:v>
      </x:c>
    </x:row>
    <x:row r="56" ht="15" hidden="0" customHeight="1">
      <x:c r="A56" s="3" t="str">
        <x:v>kokonut_ui</x:v>
      </x:c>
      <x:c r="B56" s="3" t="str">
        <x:v>Kokonut UI (free components)</x:v>
      </x:c>
      <x:c r="C56" s="3" t="str">
        <x:v>Interaction pattern components</x:v>
      </x:c>
      <x:c r="D56" s="3" t="str">
        <x:v>watch</x:v>
      </x:c>
      <x:c r="E56" s="23" t="n">
        <x:f>INDEX(AA56:AJ56,1,MATCH('Choose a resource'!$B$3,$AA$1:$AJ$1,0))</x:f>
        <x:v>2</x:v>
      </x:c>
      <x:c r="F56" s="22" t="n">
        <x:f>IF(SUMIFS('Choose a resource'!$B$11:$I$11,I56:P56,"&gt;=1")=0,"",ROUND(100*SUMPRODUCT(I56:P56,'Choose a resource'!$B$11:$I$11)/(5*SUMIFS('Choose a resource'!$B$11:$I$11,I56:P56,"&gt;=1")),1))</x:f>
        <x:v>76</x:v>
      </x:c>
      <x:c r="G56" s="23" t="str">
        <x:f>IF(F56="","no applicable weights",IF(E56=0,"outside scenario",IF(AND('Choose a resource'!$B$4&lt;&gt;"All",C56&lt;&gt;'Choose a resource'!$B$4),"other role",IF(R56="dependency_scope_review","scope review",IF(AND(D56="watch",'Choose a resource'!$B$6&lt;&gt;"Yes"),"watch excluded","candidate")))))</x:f>
        <x:v>other role</x:v>
      </x:c>
      <x:c r="H56" s="23" t="str">
        <x:f>IF(G56&lt;&gt;"candidate","",1+COUNTIFS($C$2:$C$63,C56,$G$2:$G$63,"candidate",$E$2:$E$63,"&gt;"&amp;E56)+COUNTIFS($C$2:$C$63,C56,$G$2:$G$63,"candidate",$E$2:$E$63,E56,$F$2:$F$63,"&gt;"&amp;F56))</x:f>
      </x:c>
      <x:c r="I56" s="23" t="n">
        <x:v>4</x:v>
      </x:c>
      <x:c r="J56" s="23" t="n">
        <x:v>4</x:v>
      </x:c>
      <x:c r="K56" s="23" t="n">
        <x:v>3</x:v>
      </x:c>
      <x:c r="L56" s="23" t="n">
        <x:v>3</x:v>
      </x:c>
      <x:c r="M56" s="23" t="n">
        <x:v>5</x:v>
      </x:c>
      <x:c r="N56" s="23" t="n">
        <x:v>4</x:v>
      </x:c>
      <x:c r="O56" s="23" t="n">
        <x:v>3</x:v>
      </x:c>
      <x:c r="P56" s="23" t="n">
        <x:v>4</x:v>
      </x:c>
      <x:c r="Q56" s="3" t="str">
        <x:v>medium</x:v>
      </x:c>
      <x:c r="R56" s="3" t="str">
        <x:v>qualified_named_core_scope</x:v>
      </x:c>
      <x:c r="S56" s="3" t="str">
        <x:v>provisional</x:v>
      </x:c>
      <x:c r="T56" s="3" t="str">
        <x:v>Use selected free visual/AI/media components as editable pattern material after checking each dependency.</x:v>
      </x:c>
      <x:c r="U56" s="3" t="str">
        <x:v>Treat as a specialist component pool; validate semantics and ongoing copy-code maintenance.</x:v>
      </x:c>
      <x:c r="V56" s="3" t="str">
        <x:v>Magic UI (free components); shadcn/ui</x:v>
      </x:c>
      <x:c r="W56" s="3" t="str">
        <x:v>https://kokonutui.com/docs/ai/ai-tool-approval</x:v>
      </x:c>
      <x:c r="X56" s="3" t="str">
        <x:v>Approve or reject a presented agent tool action.</x:v>
      </x:c>
      <x:c r="Y56" s="3" t="str">
        <x:v>https://kokonutui.com/docs/ai/ai-diff-review</x:v>
      </x:c>
      <x:c r="Z56" s="3" t="str">
        <x:v>Inspect a proposed change in an inline diff-review card.</x:v>
      </x:c>
      <x:c r="AA56" s="3" t="n">
        <x:v>0</x:v>
      </x:c>
      <x:c r="AB56" s="3" t="n">
        <x:v>2</x:v>
      </x:c>
      <x:c r="AC56" s="3" t="n">
        <x:v>0</x:v>
      </x:c>
      <x:c r="AD56" s="3" t="n">
        <x:v>0</x:v>
      </x:c>
      <x:c r="AE56" s="3" t="n">
        <x:v>3</x:v>
      </x:c>
      <x:c r="AF56" s="3" t="n">
        <x:v>0</x:v>
      </x:c>
      <x:c r="AG56" s="3" t="n">
        <x:v>0</x:v>
      </x:c>
      <x:c r="AH56" s="3" t="n">
        <x:v>2</x:v>
      </x:c>
      <x:c r="AI56" s="3" t="n">
        <x:v>0</x:v>
      </x:c>
      <x:c r="AJ56" s="3" t="n">
        <x:v>2</x:v>
      </x:c>
    </x:row>
    <x:row r="57" ht="15" hidden="0" customHeight="1">
      <x:c r="A57" s="3" t="str">
        <x:v>pixijs</x:v>
      </x:c>
      <x:c r="B57" s="3" t="str">
        <x:v>PixiJS</x:v>
      </x:c>
      <x:c r="C57" s="3" t="str">
        <x:v>2D canvas engine</x:v>
      </x:c>
      <x:c r="D57" s="3" t="str">
        <x:v>situational</x:v>
      </x:c>
      <x:c r="E57" s="23" t="n">
        <x:f>INDEX(AA57:AJ57,1,MATCH('Choose a resource'!$B$3,$AA$1:$AJ$1,0))</x:f>
        <x:v>0</x:v>
      </x:c>
      <x:c r="F57" s="22" t="n">
        <x:f>IF(SUMIFS('Choose a resource'!$B$11:$I$11,I57:P57,"&gt;=1")=0,"",ROUND(100*SUMPRODUCT(I57:P57,'Choose a resource'!$B$11:$I$11)/(5*SUMIFS('Choose a resource'!$B$11:$I$11,I57:P57,"&gt;=1")),1))</x:f>
        <x:v>81</x:v>
      </x:c>
      <x:c r="G57" s="23" t="str">
        <x:f>IF(F57="","no applicable weights",IF(E57=0,"outside scenario",IF(AND('Choose a resource'!$B$4&lt;&gt;"All",C57&lt;&gt;'Choose a resource'!$B$4),"other role",IF(R57="dependency_scope_review","scope review",IF(AND(D57="watch",'Choose a resource'!$B$6&lt;&gt;"Yes"),"watch excluded","candidate")))))</x:f>
        <x:v>outside scenario</x:v>
      </x:c>
      <x:c r="H57" s="23" t="str">
        <x:f>IF(G57&lt;&gt;"candidate","",1+COUNTIFS($C$2:$C$63,C57,$G$2:$G$63,"candidate",$E$2:$E$63,"&gt;"&amp;E57)+COUNTIFS($C$2:$C$63,C57,$G$2:$G$63,"candidate",$E$2:$E$63,E57,$F$2:$F$63,"&gt;"&amp;F57))</x:f>
      </x:c>
      <x:c r="I57" s="23" t="n">
        <x:v>4</x:v>
      </x:c>
      <x:c r="J57" s="23" t="n">
        <x:v>5</x:v>
      </x:c>
      <x:c r="K57" s="23" t="n">
        <x:v>2</x:v>
      </x:c>
      <x:c r="L57" s="23" t="n">
        <x:v>5</x:v>
      </x:c>
      <x:c r="M57" s="23" t="n">
        <x:v>4</x:v>
      </x:c>
      <x:c r="N57" s="23" t="n">
        <x:v>5</x:v>
      </x:c>
      <x:c r="O57" s="23" t="n">
        <x:v>5</x:v>
      </x:c>
      <x:c r="P57" s="23" t="n">
        <x:v>2</x:v>
      </x:c>
      <x:c r="Q57" s="3" t="str">
        <x:v>high</x:v>
      </x:c>
      <x:c r="R57" s="3" t="str">
        <x:v>qualified_named_core_scope</x:v>
      </x:c>
      <x:c r="S57" s="3" t="str">
        <x:v>documented</x:v>
      </x:c>
      <x:c r="T57" s="3" t="str">
        <x:v>Prefer for dense GPU-accelerated 2D scenes, sprites, effects and custom media/canvas experiences.</x:v>
      </x:c>
      <x:c r="U57" s="3" t="str">
        <x:v>It does not supply editor selection, collaboration or accessible DOM controls.</x:v>
      </x:c>
      <x:c r="V57" s="3" t="str">
        <x:v>Konva</x:v>
      </x:c>
      <x:c r="W57" s="3" t="str">
        <x:v>https://pixijs.com/</x:v>
      </x:c>
      <x:c r="X57" s="3" t="str">
        <x:v>Nebulon Header: GPU-rendered interactive scene above concise app/renderer navigation.</x:v>
      </x:c>
      <x:c r="Y57" s="3" t="str">
        <x:v>https://www.awwwards.com/inspiration/pixi-js-filter</x:v>
      </x:c>
      <x:c r="Z57" s="3" t="str">
        <x:v>Filter-based image/transition treatment attributed to PixiJS.</x:v>
      </x:c>
      <x:c r="AA57" s="3" t="n">
        <x:v>0</x:v>
      </x:c>
      <x:c r="AB57" s="3" t="n">
        <x:v>0</x:v>
      </x:c>
      <x:c r="AC57" s="3" t="n">
        <x:v>0</x:v>
      </x:c>
      <x:c r="AD57" s="3" t="n">
        <x:v>0</x:v>
      </x:c>
      <x:c r="AE57" s="3" t="n">
        <x:v>2</x:v>
      </x:c>
      <x:c r="AF57" s="3" t="n">
        <x:v>2</x:v>
      </x:c>
      <x:c r="AG57" s="3" t="n">
        <x:v>2</x:v>
      </x:c>
      <x:c r="AH57" s="3" t="n">
        <x:v>2</x:v>
      </x:c>
      <x:c r="AI57" s="3" t="n">
        <x:v>0</x:v>
      </x:c>
      <x:c r="AJ57" s="3" t="n">
        <x:v>0</x:v>
      </x:c>
    </x:row>
    <x:row r="58" ht="15" hidden="0" customHeight="1">
      <x:c r="A58" s="3" t="str">
        <x:v>antv-g6</x:v>
      </x:c>
      <x:c r="B58" s="3" t="str">
        <x:v>AntV G6</x:v>
      </x:c>
      <x:c r="C58" s="3" t="str">
        <x:v>Network renderer</x:v>
      </x:c>
      <x:c r="D58" s="3" t="str">
        <x:v>watch</x:v>
      </x:c>
      <x:c r="E58" s="23" t="n">
        <x:f>INDEX(AA58:AJ58,1,MATCH('Choose a resource'!$B$3,$AA$1:$AJ$1,0))</x:f>
        <x:v>0</x:v>
      </x:c>
      <x:c r="F58" s="22" t="n">
        <x:f>IF(SUMIFS('Choose a resource'!$B$11:$I$11,I58:P58,"&gt;=1")=0,"",ROUND(100*SUMPRODUCT(I58:P58,'Choose a resource'!$B$11:$I$11)/(5*SUMIFS('Choose a resource'!$B$11:$I$11,I58:P58,"&gt;=1")),1))</x:f>
        <x:v>72</x:v>
      </x:c>
      <x:c r="G58" s="23" t="str">
        <x:f>IF(F58="","no applicable weights",IF(E58=0,"outside scenario",IF(AND('Choose a resource'!$B$4&lt;&gt;"All",C58&lt;&gt;'Choose a resource'!$B$4),"other role",IF(R58="dependency_scope_review","scope review",IF(AND(D58="watch",'Choose a resource'!$B$6&lt;&gt;"Yes"),"watch excluded","candidate")))))</x:f>
        <x:v>outside scenario</x:v>
      </x:c>
      <x:c r="H58" s="23" t="str">
        <x:f>IF(G58&lt;&gt;"candidate","",1+COUNTIFS($C$2:$C$63,C58,$G$2:$G$63,"candidate",$E$2:$E$63,"&gt;"&amp;E58)+COUNTIFS($C$2:$C$63,C58,$G$2:$G$63,"candidate",$E$2:$E$63,E58,$F$2:$F$63,"&gt;"&amp;F58))</x:f>
      </x:c>
      <x:c r="I58" s="23" t="n">
        <x:v>4</x:v>
      </x:c>
      <x:c r="J58" s="23" t="n">
        <x:v>5</x:v>
      </x:c>
      <x:c r="K58" s="23" t="n">
        <x:v>2</x:v>
      </x:c>
      <x:c r="L58" s="23" t="n">
        <x:v>4</x:v>
      </x:c>
      <x:c r="M58" s="23" t="n">
        <x:v>3</x:v>
      </x:c>
      <x:c r="N58" s="23" t="n">
        <x:v>4</x:v>
      </x:c>
      <x:c r="O58" s="23" t="n">
        <x:v>4</x:v>
      </x:c>
      <x:c r="P58" s="23" t="n">
        <x:v>2</x:v>
      </x:c>
      <x:c r="Q58" s="3" t="str">
        <x:v>high</x:v>
      </x:c>
      <x:c r="R58" s="3" t="str">
        <x:v>qualified_named_core_scope</x:v>
      </x:c>
      <x:c r="S58" s="3" t="str">
        <x:v>provisional</x:v>
      </x:c>
      <x:c r="T58" s="3" t="str">
        <x:v>Choose graph exploration when multiple layouts, behaviours and analysis-oriented graph tooling matter.</x:v>
      </x:c>
      <x:c r="U58" s="3" t="str">
        <x:v>Prefer React Flow for node-port workflow editing; verify renderer/layout performance on your actual graph.</x:v>
      </x:c>
      <x:c r="V58" s="3" t="str">
        <x:v>Sigma.js + Graphology; React Flow</x:v>
      </x:c>
      <x:c r="W58" s="3" t="str">
        <x:v>https://g6.antv.antgroup.com/en/examples/feature/default/unicorns-investors/</x:v>
      </x:c>
      <x:c r="X58" s="3" t="str">
        <x:v>Information Density: 1,086 nodes/1,247 edges, neighbour focus, fixed-size labels and adaptive visibility.</x:v>
      </x:c>
      <x:c r="Y58" s="3" t="str">
        <x:v>https://g6.antv.antgroup.com/en/manual/introduction/</x:v>
      </x:c>
      <x:c r="Z58" s="3" t="str">
        <x:v>Integration documentation; this link is guidance, not an additional live demonstration.</x:v>
      </x:c>
      <x:c r="AA58" s="3" t="n">
        <x:v>0</x:v>
      </x:c>
      <x:c r="AB58" s="3" t="n">
        <x:v>0</x:v>
      </x:c>
      <x:c r="AC58" s="3" t="n">
        <x:v>0</x:v>
      </x:c>
      <x:c r="AD58" s="3" t="n">
        <x:v>0</x:v>
      </x:c>
      <x:c r="AE58" s="3" t="n">
        <x:v>0</x:v>
      </x:c>
      <x:c r="AF58" s="3" t="n">
        <x:v>0</x:v>
      </x:c>
      <x:c r="AG58" s="3" t="n">
        <x:v>2</x:v>
      </x:c>
      <x:c r="AH58" s="3" t="n">
        <x:v>0</x:v>
      </x:c>
      <x:c r="AI58" s="3" t="n">
        <x:v>3</x:v>
      </x:c>
      <x:c r="AJ58" s="3" t="n">
        <x:v>2</x:v>
      </x:c>
    </x:row>
    <x:row r="59" ht="15" hidden="0" customHeight="1">
      <x:c r="A59" s="3" t="str">
        <x:v>loro</x:v>
      </x:c>
      <x:c r="B59" s="3" t="str">
        <x:v>Loro</x:v>
      </x:c>
      <x:c r="C59" s="3" t="str">
        <x:v>Collaboration sync</x:v>
      </x:c>
      <x:c r="D59" s="3" t="str">
        <x:v>situational</x:v>
      </x:c>
      <x:c r="E59" s="23" t="n">
        <x:f>INDEX(AA59:AJ59,1,MATCH('Choose a resource'!$B$3,$AA$1:$AJ$1,0))</x:f>
        <x:v>0</x:v>
      </x:c>
      <x:c r="F59" s="22" t="n">
        <x:f>IF(SUMIFS('Choose a resource'!$B$11:$I$11,I59:P59,"&gt;=1")=0,"",ROUND(100*SUMPRODUCT(I59:P59,'Choose a resource'!$B$11:$I$11)/(5*SUMIFS('Choose a resource'!$B$11:$I$11,I59:P59,"&gt;=1")),1))</x:f>
        <x:v>81.5</x:v>
      </x:c>
      <x:c r="G59" s="23" t="str">
        <x:f>IF(F59="","no applicable weights",IF(E59=0,"outside scenario",IF(AND('Choose a resource'!$B$4&lt;&gt;"All",C59&lt;&gt;'Choose a resource'!$B$4),"other role",IF(R59="dependency_scope_review","scope review",IF(AND(D59="watch",'Choose a resource'!$B$6&lt;&gt;"Yes"),"watch excluded","candidate")))))</x:f>
        <x:v>outside scenario</x:v>
      </x:c>
      <x:c r="H59" s="23" t="str">
        <x:f>IF(G59&lt;&gt;"candidate","",1+COUNTIFS($C$2:$C$63,C59,$G$2:$G$63,"candidate",$E$2:$E$63,"&gt;"&amp;E59)+COUNTIFS($C$2:$C$63,C59,$G$2:$G$63,"candidate",$E$2:$E$63,E59,$F$2:$F$63,"&gt;"&amp;F59))</x:f>
      </x:c>
      <x:c r="I59" s="23"/>
      <x:c r="J59" s="23" t="n">
        <x:v>5</x:v>
      </x:c>
      <x:c r="K59" s="23"/>
      <x:c r="L59" s="23" t="n">
        <x:v>4</x:v>
      </x:c>
      <x:c r="M59" s="23" t="n">
        <x:v>4</x:v>
      </x:c>
      <x:c r="N59" s="23" t="n">
        <x:v>4</x:v>
      </x:c>
      <x:c r="O59" s="23" t="n">
        <x:v>4</x:v>
      </x:c>
      <x:c r="P59" s="23" t="n">
        <x:v>2</x:v>
      </x:c>
      <x:c r="Q59" s="3" t="str">
        <x:v>high</x:v>
      </x:c>
      <x:c r="R59" s="3" t="str">
        <x:v>qualified_named_core_scope</x:v>
      </x:c>
      <x:c r="S59" s="3" t="str">
        <x:v>documented</x:v>
      </x:c>
      <x:c r="T59" s="3" t="str">
        <x:v>Prefer when movable trees/lists, undo and document history fit your local-first collaboration model.</x:v>
      </x:c>
      <x:c r="U59" s="3" t="str">
        <x:v>It is a data engine; you still own transport, auth, persistence and visible merge/undo behaviour.</x:v>
      </x:c>
      <x:c r="V59" s="3" t="str">
        <x:v>Yjs; Automerge</x:v>
      </x:c>
      <x:c r="W59" s="3" t="str">
        <x:v>https://loro.dev/</x:v>
      </x:c>
      <x:c r="X59" s="3" t="str">
        <x:v>Collaborative structured state and document version history.</x:v>
      </x:c>
      <x:c r="Y59" s="3" t="str">
        <x:v>https://loro.dev/docs/tutorial/get_started</x:v>
      </x:c>
      <x:c r="Z59" s="3" t="str">
        <x:v>Integration documentation; this link is guidance, not an additional live demonstration.</x:v>
      </x:c>
      <x:c r="AA59" s="3" t="n">
        <x:v>0</x:v>
      </x:c>
      <x:c r="AB59" s="3" t="n">
        <x:v>0</x:v>
      </x:c>
      <x:c r="AC59" s="3" t="n">
        <x:v>0</x:v>
      </x:c>
      <x:c r="AD59" s="3" t="n">
        <x:v>0</x:v>
      </x:c>
      <x:c r="AE59" s="3" t="n">
        <x:v>0</x:v>
      </x:c>
      <x:c r="AF59" s="3" t="n">
        <x:v>0</x:v>
      </x:c>
      <x:c r="AG59" s="3" t="n">
        <x:v>3</x:v>
      </x:c>
      <x:c r="AH59" s="3" t="n">
        <x:v>0</x:v>
      </x:c>
      <x:c r="AI59" s="3" t="n">
        <x:v>0</x:v>
      </x:c>
      <x:c r="AJ59" s="3" t="n">
        <x:v>2</x:v>
      </x:c>
    </x:row>
    <x:row r="60" ht="15" hidden="0" customHeight="1">
      <x:c r="A60" s="3" t="str">
        <x:v>vtable</x:v>
      </x:c>
      <x:c r="B60" s="3" t="str">
        <x:v>VisActor VTable</x:v>
      </x:c>
      <x:c r="C60" s="3" t="str">
        <x:v>Data table</x:v>
      </x:c>
      <x:c r="D60" s="3" t="str">
        <x:v>watch</x:v>
      </x:c>
      <x:c r="E60" s="23" t="n">
        <x:f>INDEX(AA60:AJ60,1,MATCH('Choose a resource'!$B$3,$AA$1:$AJ$1,0))</x:f>
        <x:v>2</x:v>
      </x:c>
      <x:c r="F60" s="22" t="n">
        <x:f>IF(SUMIFS('Choose a resource'!$B$11:$I$11,I60:P60,"&gt;=1")=0,"",ROUND(100*SUMPRODUCT(I60:P60,'Choose a resource'!$B$11:$I$11)/(5*SUMIFS('Choose a resource'!$B$11:$I$11,I60:P60,"&gt;=1")),1))</x:f>
        <x:v>79</x:v>
      </x:c>
      <x:c r="G60" s="23" t="str">
        <x:f>IF(F60="","no applicable weights",IF(E60=0,"outside scenario",IF(AND('Choose a resource'!$B$4&lt;&gt;"All",C60&lt;&gt;'Choose a resource'!$B$4),"other role",IF(R60="dependency_scope_review","scope review",IF(AND(D60="watch",'Choose a resource'!$B$6&lt;&gt;"Yes"),"watch excluded","candidate")))))</x:f>
        <x:v>other role</x:v>
      </x:c>
      <x:c r="H60" s="23" t="str">
        <x:f>IF(G60&lt;&gt;"candidate","",1+COUNTIFS($C$2:$C$63,C60,$G$2:$G$63,"candidate",$E$2:$E$63,"&gt;"&amp;E60)+COUNTIFS($C$2:$C$63,C60,$G$2:$G$63,"candidate",$E$2:$E$63,E60,$F$2:$F$63,"&gt;"&amp;F60))</x:f>
      </x:c>
      <x:c r="I60" s="23" t="n">
        <x:v>4</x:v>
      </x:c>
      <x:c r="J60" s="23" t="n">
        <x:v>5</x:v>
      </x:c>
      <x:c r="K60" s="23" t="n">
        <x:v>2</x:v>
      </x:c>
      <x:c r="L60" s="23" t="n">
        <x:v>5</x:v>
      </x:c>
      <x:c r="M60" s="23" t="n">
        <x:v>4</x:v>
      </x:c>
      <x:c r="N60" s="23" t="n">
        <x:v>4</x:v>
      </x:c>
      <x:c r="O60" s="23" t="n">
        <x:v>4</x:v>
      </x:c>
      <x:c r="P60" s="23" t="n">
        <x:v>3</x:v>
      </x:c>
      <x:c r="Q60" s="3" t="str">
        <x:v>medium</x:v>
      </x:c>
      <x:c r="R60" s="3" t="str">
        <x:v>qualified_named_core_scope</x:v>
      </x:c>
      <x:c r="S60" s="3" t="str">
        <x:v>provisional</x:v>
      </x:c>
      <x:c r="T60" s="3" t="str">
        <x:v>Consider Canvas tables/Gantt when the DOM grid becomes the display bottleneck.</x:v>
      </x:c>
      <x:c r="U60" s="3" t="str">
        <x:v>A Canvas grid needs its own accessibility strategy and custom product styling.</x:v>
      </x:c>
      <x:c r="V60" s="3" t="str">
        <x:v>AG Grid Community; TanStack Table</x:v>
      </x:c>
      <x:c r="W60" s="3" t="str">
        <x:v>https://visactor.io/vtable</x:v>
      </x:c>
      <x:c r="X60" s="3" t="str">
        <x:v>Dense multidimensional/pivot table and Gantt ecosystem.</x:v>
      </x:c>
      <x:c r="Y60" s="3" t="str">
        <x:v>https://visactor.io/vtable</x:v>
      </x:c>
      <x:c r="Z60" s="3" t="str">
        <x:v>Integration documentation; this link is guidance, not an additional live demonstration.</x:v>
      </x:c>
      <x:c r="AA60" s="3" t="n">
        <x:v>0</x:v>
      </x:c>
      <x:c r="AB60" s="3" t="n">
        <x:v>2</x:v>
      </x:c>
      <x:c r="AC60" s="3" t="n">
        <x:v>2</x:v>
      </x:c>
      <x:c r="AD60" s="3" t="n">
        <x:v>0</x:v>
      </x:c>
      <x:c r="AE60" s="3" t="n">
        <x:v>0</x:v>
      </x:c>
      <x:c r="AF60" s="3" t="n">
        <x:v>0</x:v>
      </x:c>
      <x:c r="AG60" s="3" t="n">
        <x:v>0</x:v>
      </x:c>
      <x:c r="AH60" s="3" t="n">
        <x:v>0</x:v>
      </x:c>
      <x:c r="AI60" s="3" t="n">
        <x:v>0</x:v>
      </x:c>
      <x:c r="AJ60" s="3" t="n">
        <x:v>2</x:v>
      </x:c>
    </x:row>
    <x:row r="61" ht="24" hidden="0" customHeight="1">
      <x:c r="A61" s="3" t="str">
        <x:v>json_render</x:v>
      </x:c>
      <x:c r="B61" s="3" t="str">
        <x:v>json-render</x:v>
      </x:c>
      <x:c r="C61" s="3" t="str">
        <x:v>Generative UI renderer</x:v>
      </x:c>
      <x:c r="D61" s="3" t="str">
        <x:v>situational</x:v>
      </x:c>
      <x:c r="E61" s="23" t="n">
        <x:f>INDEX(AA61:AJ61,1,MATCH('Choose a resource'!$B$3,$AA$1:$AJ$1,0))</x:f>
        <x:v>2</x:v>
      </x:c>
      <x:c r="F61" s="22" t="n">
        <x:f>IF(SUMIFS('Choose a resource'!$B$11:$I$11,I61:P61,"&gt;=1")=0,"",ROUND(100*SUMPRODUCT(I61:P61,'Choose a resource'!$B$11:$I$11)/(5*SUMIFS('Choose a resource'!$B$11:$I$11,I61:P61,"&gt;=1")),1))</x:f>
        <x:v>82</x:v>
      </x:c>
      <x:c r="G61" s="23" t="str">
        <x:f>IF(F61="","no applicable weights",IF(E61=0,"outside scenario",IF(AND('Choose a resource'!$B$4&lt;&gt;"All",C61&lt;&gt;'Choose a resource'!$B$4),"other role",IF(R61="dependency_scope_review","scope review",IF(AND(D61="watch",'Choose a resource'!$B$6&lt;&gt;"Yes"),"watch excluded","candidate")))))</x:f>
        <x:v>other role</x:v>
      </x:c>
      <x:c r="H61" s="23" t="str">
        <x:f>IF(G61&lt;&gt;"candidate","",1+COUNTIFS($C$2:$C$63,C61,$G$2:$G$63,"candidate",$E$2:$E$63,"&gt;"&amp;E61)+COUNTIFS($C$2:$C$63,C61,$G$2:$G$63,"candidate",$E$2:$E$63,E61,$F$2:$F$63,"&gt;"&amp;F61))</x:f>
      </x:c>
      <x:c r="I61" s="23" t="n">
        <x:v>4</x:v>
      </x:c>
      <x:c r="J61" s="23" t="n">
        <x:v>5</x:v>
      </x:c>
      <x:c r="K61" s="23" t="n">
        <x:v>3</x:v>
      </x:c>
      <x:c r="L61" s="23" t="n">
        <x:v>4</x:v>
      </x:c>
      <x:c r="M61" s="23" t="n">
        <x:v>5</x:v>
      </x:c>
      <x:c r="N61" s="23" t="n">
        <x:v>4</x:v>
      </x:c>
      <x:c r="O61" s="23" t="n">
        <x:v>4</x:v>
      </x:c>
      <x:c r="P61" s="23" t="n">
        <x:v>3</x:v>
      </x:c>
      <x:c r="Q61" s="3" t="str">
        <x:v>high</x:v>
      </x:c>
      <x:c r="R61" s="3" t="str">
        <x:v>qualified_named_core_scope</x:v>
      </x:c>
      <x:c r="S61" s="3" t="str">
        <x:v>documented</x:v>
      </x:c>
      <x:c r="T61" s="3" t="str">
        <x:v>Choose bounded generative UI where models emit a validated spec for your registered component catalogue.</x:v>
      </x:c>
      <x:c r="U61" s="3" t="str">
        <x:v>Schema validation is not authorization; avoid arbitrary model-generated executable components.</x:v>
      </x:c>
      <x:c r="V61" s="3" t="str">
        <x:v>OpenUI (Thesys open-source framework); CopilotKit (MIT SDKs and TypeScript runtime)</x:v>
      </x:c>
      <x:c r="W61" s="3" t="str">
        <x:v>https://json-render.dev/playground</x:v>
      </x:c>
      <x:c r="X61" s="3" t="str">
        <x:v>A prompt assembles an interactive dashboard from the allowed catalog while patches stream.</x:v>
      </x:c>
      <x:c r="Y61" s="3" t="str">
        <x:v>https://json-render.dev/docs</x:v>
      </x:c>
      <x:c r="Z61" s="3" t="str">
        <x:v>Integration documentation; this link is guidance, not an additional live demonstration.</x:v>
      </x:c>
      <x:c r="AA61" s="3" t="n">
        <x:v>2</x:v>
      </x:c>
      <x:c r="AB61" s="3" t="n">
        <x:v>2</x:v>
      </x:c>
      <x:c r="AC61" s="3" t="n">
        <x:v>0</x:v>
      </x:c>
      <x:c r="AD61" s="3" t="n">
        <x:v>0</x:v>
      </x:c>
      <x:c r="AE61" s="3" t="n">
        <x:v>0</x:v>
      </x:c>
      <x:c r="AF61" s="3" t="n">
        <x:v>0</x:v>
      </x:c>
      <x:c r="AG61" s="3" t="n">
        <x:v>0</x:v>
      </x:c>
      <x:c r="AH61" s="3" t="n">
        <x:v>0</x:v>
      </x:c>
      <x:c r="AI61" s="3" t="n">
        <x:v>0</x:v>
      </x:c>
      <x:c r="AJ61" s="3" t="n">
        <x:v>3</x:v>
      </x:c>
    </x:row>
    <x:row r="62" ht="15" hidden="0" customHeight="1">
      <x:c r="A62" s="3" t="str">
        <x:v>openui_thesys</x:v>
      </x:c>
      <x:c r="B62" s="3" t="str">
        <x:v>OpenUI (Thesys open-source framework)</x:v>
      </x:c>
      <x:c r="C62" s="3" t="str">
        <x:v>Generative UI renderer</x:v>
      </x:c>
      <x:c r="D62" s="3" t="str">
        <x:v>situational</x:v>
      </x:c>
      <x:c r="E62" s="23" t="n">
        <x:f>INDEX(AA62:AJ62,1,MATCH('Choose a resource'!$B$3,$AA$1:$AJ$1,0))</x:f>
        <x:v>2</x:v>
      </x:c>
      <x:c r="F62" s="22" t="n">
        <x:f>IF(SUMIFS('Choose a resource'!$B$11:$I$11,I62:P62,"&gt;=1")=0,"",ROUND(100*SUMPRODUCT(I62:P62,'Choose a resource'!$B$11:$I$11)/(5*SUMIFS('Choose a resource'!$B$11:$I$11,I62:P62,"&gt;=1")),1))</x:f>
        <x:v>82</x:v>
      </x:c>
      <x:c r="G62" s="23" t="str">
        <x:f>IF(F62="","no applicable weights",IF(E62=0,"outside scenario",IF(AND('Choose a resource'!$B$4&lt;&gt;"All",C62&lt;&gt;'Choose a resource'!$B$4),"other role",IF(R62="dependency_scope_review","scope review",IF(AND(D62="watch",'Choose a resource'!$B$6&lt;&gt;"Yes"),"watch excluded","candidate")))))</x:f>
        <x:v>other role</x:v>
      </x:c>
      <x:c r="H62" s="23" t="str">
        <x:f>IF(G62&lt;&gt;"candidate","",1+COUNTIFS($C$2:$C$63,C62,$G$2:$G$63,"candidate",$E$2:$E$63,"&gt;"&amp;E62)+COUNTIFS($C$2:$C$63,C62,$G$2:$G$63,"candidate",$E$2:$E$63,E62,$F$2:$F$63,"&gt;"&amp;F62))</x:f>
      </x:c>
      <x:c r="I62" s="23" t="n">
        <x:v>4</x:v>
      </x:c>
      <x:c r="J62" s="23" t="n">
        <x:v>5</x:v>
      </x:c>
      <x:c r="K62" s="23" t="n">
        <x:v>3</x:v>
      </x:c>
      <x:c r="L62" s="23" t="n">
        <x:v>4</x:v>
      </x:c>
      <x:c r="M62" s="23" t="n">
        <x:v>5</x:v>
      </x:c>
      <x:c r="N62" s="23" t="n">
        <x:v>4</x:v>
      </x:c>
      <x:c r="O62" s="23" t="n">
        <x:v>4</x:v>
      </x:c>
      <x:c r="P62" s="23" t="n">
        <x:v>3</x:v>
      </x:c>
      <x:c r="Q62" s="3" t="str">
        <x:v>high</x:v>
      </x:c>
      <x:c r="R62" s="3" t="str">
        <x:v>qualified_named_core_scope</x:v>
      </x:c>
      <x:c r="S62" s="3" t="str">
        <x:v>documented</x:v>
      </x:c>
      <x:c r="T62" s="3" t="str">
        <x:v>Choose the Thesys OpenUI parser/renderer and component system for interactive streamed agent responses.</x:v>
      </x:c>
      <x:c r="U62" s="3" t="str">
        <x:v>Do not confuse it with W&amp;B OpenUI or assume hosted Thesys features share the MIT scope.</x:v>
      </x:c>
      <x:c r="V62" s="3" t="str">
        <x:v>json-render; assistant-ui</x:v>
      </x:c>
      <x:c r="W62" s="3" t="str">
        <x:v>https://www.openui.com/demo/f1-dashboard</x:v>
      </x:c>
      <x:c r="X62" s="3" t="str">
        <x:v>Season overview, drivers, constructors and calendar connect to a contextual Team Radio prompt.</x:v>
      </x:c>
      <x:c r="Y62" s="3" t="str">
        <x:v>https://www.openui.com/docs</x:v>
      </x:c>
      <x:c r="Z62" s="3" t="str">
        <x:v>Choose a registered component library, stream the language, render one component line at a time.</x:v>
      </x:c>
      <x:c r="AA62" s="3" t="n">
        <x:v>2</x:v>
      </x:c>
      <x:c r="AB62" s="3" t="n">
        <x:v>2</x:v>
      </x:c>
      <x:c r="AC62" s="3" t="n">
        <x:v>0</x:v>
      </x:c>
      <x:c r="AD62" s="3" t="n">
        <x:v>0</x:v>
      </x:c>
      <x:c r="AE62" s="3" t="n">
        <x:v>0</x:v>
      </x:c>
      <x:c r="AF62" s="3" t="n">
        <x:v>0</x:v>
      </x:c>
      <x:c r="AG62" s="3" t="n">
        <x:v>0</x:v>
      </x:c>
      <x:c r="AH62" s="3" t="n">
        <x:v>0</x:v>
      </x:c>
      <x:c r="AI62" s="3" t="n">
        <x:v>0</x:v>
      </x:c>
      <x:c r="AJ62" s="3" t="n">
        <x:v>3</x:v>
      </x:c>
    </x:row>
    <x:row r="63" ht="24" hidden="0" customHeight="1">
      <x:c r="A63" s="3" t="str">
        <x:v>rive_runtime</x:v>
      </x:c>
      <x:c r="B63" s="3" t="str">
        <x:v>Rive Web runtime (MIT playback; separate authoring)</x:v>
      </x:c>
      <x:c r="C63" s="3" t="str">
        <x:v>Authored animation runtime</x:v>
      </x:c>
      <x:c r="D63" s="3" t="str">
        <x:v>situational</x:v>
      </x:c>
      <x:c r="E63" s="23" t="n">
        <x:f>INDEX(AA63:AJ63,1,MATCH('Choose a resource'!$B$3,$AA$1:$AJ$1,0))</x:f>
        <x:v>0</x:v>
      </x:c>
      <x:c r="F63" s="22" t="n">
        <x:f>IF(SUMIFS('Choose a resource'!$B$11:$I$11,I63:P63,"&gt;=1")=0,"",ROUND(100*SUMPRODUCT(I63:P63,'Choose a resource'!$B$11:$I$11)/(5*SUMIFS('Choose a resource'!$B$11:$I$11,I63:P63,"&gt;=1")),1))</x:f>
        <x:v>82</x:v>
      </x:c>
      <x:c r="G63" s="23" t="str">
        <x:f>IF(F63="","no applicable weights",IF(E63=0,"outside scenario",IF(AND('Choose a resource'!$B$4&lt;&gt;"All",C63&lt;&gt;'Choose a resource'!$B$4),"other role",IF(R63="dependency_scope_review","scope review",IF(AND(D63="watch",'Choose a resource'!$B$6&lt;&gt;"Yes"),"watch excluded","candidate")))))</x:f>
        <x:v>outside scenario</x:v>
      </x:c>
      <x:c r="H63" s="23" t="str">
        <x:f>IF(G63&lt;&gt;"candidate","",1+COUNTIFS($C$2:$C$63,C63,$G$2:$G$63,"candidate",$E$2:$E$63,"&gt;"&amp;E63)+COUNTIFS($C$2:$C$63,C63,$G$2:$G$63,"candidate",$E$2:$E$63,E63,$F$2:$F$63,"&gt;"&amp;F63))</x:f>
      </x:c>
      <x:c r="I63" s="23" t="n">
        <x:v>5</x:v>
      </x:c>
      <x:c r="J63" s="23" t="n">
        <x:v>5</x:v>
      </x:c>
      <x:c r="K63" s="23" t="n">
        <x:v>2</x:v>
      </x:c>
      <x:c r="L63" s="23" t="n">
        <x:v>4</x:v>
      </x:c>
      <x:c r="M63" s="23" t="n">
        <x:v>4</x:v>
      </x:c>
      <x:c r="N63" s="23" t="n">
        <x:v>5</x:v>
      </x:c>
      <x:c r="O63" s="23" t="n">
        <x:v>5</x:v>
      </x:c>
      <x:c r="P63" s="23" t="n">
        <x:v>2</x:v>
      </x:c>
      <x:c r="Q63" s="3" t="str">
        <x:v>high</x:v>
      </x:c>
      <x:c r="R63" s="3" t="str">
        <x:v>qualified_named_core_scope</x:v>
      </x:c>
      <x:c r="S63" s="3" t="str">
        <x:v>documented</x:v>
      </x:c>
      <x:c r="T63" s="3" t="str">
        <x:v>Use MIT playback runtimes for designer-authored interactive state-machine assets.</x:v>
      </x:c>
      <x:c r="U63" s="3" t="str">
        <x:v>The Rive authoring editor/assets have separate terms; avoid using it for ordinary DOM layout transitions.</x:v>
      </x:c>
      <x:c r="V63" s="3" t="str">
        <x:v>Motion; Anime.js</x:v>
      </x:c>
      <x:c r="W63" s="3" t="str">
        <x:v>https://rive.app/docs/runtimes/demos</x:v>
      </x:c>
      <x:c r="X63" s="3" t="str">
        <x:v>Interactive runtime demonstrations with state-machine inputs.</x:v>
      </x:c>
      <x:c r="Y63" s="3" t="str">
        <x:v>https://github.com/rive-app/rive-wasm#readme</x:v>
      </x:c>
      <x:c r="Z63" s="3" t="str">
        <x:v>Integration documentation; this link is guidance, not an additional live demonstration.</x:v>
      </x:c>
      <x:c r="AA63" s="3" t="n">
        <x:v>0</x:v>
      </x:c>
      <x:c r="AB63" s="3" t="n">
        <x:v>0</x:v>
      </x:c>
      <x:c r="AC63" s="3" t="n">
        <x:v>0</x:v>
      </x:c>
      <x:c r="AD63" s="3" t="n">
        <x:v>0</x:v>
      </x:c>
      <x:c r="AE63" s="3" t="n">
        <x:v>2</x:v>
      </x:c>
      <x:c r="AF63" s="3" t="n">
        <x:v>2</x:v>
      </x:c>
      <x:c r="AG63" s="3" t="n">
        <x:v>0</x:v>
      </x:c>
      <x:c r="AH63" s="3" t="n">
        <x:v>0</x:v>
      </x:c>
      <x:c r="AI63" s="3" t="n">
        <x:v>0</x:v>
      </x:c>
      <x:c r="AJ63" s="3" t="n">
        <x:v>2</x:v>
      </x:c>
    </x:row>
  </x:sheetData>
  <x:conditionalFormatting sqref="H2:H63">
    <x:cfRule type="cellIs" dxfId="1" priority="1" operator="equal">
      <x:formula>1</x:formula>
    </x:cfRule>
  </x:conditionalFormatting>
  <x:pageMargins left="0.7" right="0.7" top="0.75" bottom="0.75" header="0.3" footer="0.3"/>
  <x:tableParts count="1">
    <x:tablePart xmlns:r="http://schemas.openxmlformats.org/officeDocument/2006/relationships" r:id="Rec9de24bc10240e1"/>
  </x:tableParts>
</x:worksheet>
</file>

<file path=xl/worksheets/sheet1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65" hidden="0" customWidth="1"/>
    <x:col min="3" max="3" width="65" hidden="0" customWidth="1"/>
    <x:col min="4" max="4" width="65" hidden="0" customWidth="1"/>
    <x:col min="5" max="5" width="73" hidden="0" customWidth="1"/>
  </x:cols>
  <x:sheetData>
    <x:row r="1" ht="38" hidden="0" customHeight="1">
      <x:c r="A1" s="20" t="str">
        <x:v>Dimension</x:v>
      </x:c>
      <x:c r="B1" s="20" t="str">
        <x:v>1: weak</x:v>
      </x:c>
      <x:c r="C1" s="20" t="str">
        <x:v>3: adequate</x:v>
      </x:c>
      <x:c r="D1" s="20" t="str">
        <x:v>5: strong</x:v>
      </x:c>
      <x:c r="E1" s="20" t="str">
        <x:v>N/A / evidence limit</x:v>
      </x:c>
    </x:row>
    <x:row r="2" ht="15" hidden="0" customHeight="1">
      <x:c r="A2" s="3" t="str">
        <x:v>visual</x:v>
      </x:c>
      <x:c r="B2" s="3" t="str">
        <x:v>Dated or utilitarian output with major art-direction work.</x:v>
      </x:c>
      <x:c r="C2" s="3" t="str">
        <x:v>Functional output or a styling foundation; substantial design choices remain.</x:v>
      </x:c>
      <x:c r="D2" s="3" t="str">
        <x:v>Distinctive polished official examples and strong visual control.</x:v>
      </x:c>
      <x:c r="E2" s="3" t="str">
        <x:v>No visual output at this layer.</x:v>
      </x:c>
    </x:row>
    <x:row r="3" ht="15" hidden="0" customHeight="1">
      <x:c r="A3" s="3" t="str">
        <x:v>interaction</x:v>
      </x:c>
      <x:c r="B3" s="3" t="str">
        <x:v>Only a basic primitive; most interaction must be built.</x:v>
      </x:c>
      <x:c r="C3" s="3" t="str">
        <x:v>Core interactions supported with application wiring.</x:v>
      </x:c>
      <x:c r="D3" s="3" t="str">
        <x:v>Broad, controllable interaction coverage for the stated role.</x:v>
      </x:c>
      <x:c r="E3" s="3" t="str">
        <x:v>A static asset/token pipeline has no interactive UI.</x:v>
      </x:c>
    </x:row>
    <x:row r="4" ht="15" hidden="0" customHeight="1">
      <x:c r="A4" s="3" t="str">
        <x:v>accessibility</x:v>
      </x:c>
      <x:c r="B4" s="3" t="str">
        <x:v>Canvas/custom surface; semantics, keyboard and alternatives largely manual.</x:v>
      </x:c>
      <x:c r="C4" s="3" t="str">
        <x:v>Some documented keyboard/semantics support; composition still needs significant testing.</x:v>
      </x:c>
      <x:c r="D4" s="3" t="str">
        <x:v>Comprehensive documented keyboard/focus/semantic patterns for the role.</x:v>
      </x:c>
      <x:c r="E4" s="3" t="str">
        <x:v>Data-only or build-only layer has no direct UI semantics.</x:v>
      </x:c>
    </x:row>
    <x:row r="5" ht="15" hidden="0" customHeight="1">
      <x:c r="A5" s="3" t="str">
        <x:v>scale</x:v>
      </x:c>
      <x:c r="B5" s="3" t="str">
        <x:v>Likely expensive naive rendering or unsuitable architecture.</x:v>
      </x:c>
      <x:c r="C5" s="3" t="str">
        <x:v>Suitable for bounded desktop workloads with ordinary optimisation.</x:v>
      </x:c>
      <x:c r="D5" s="3" t="str">
        <x:v>Specialised rendering/windowing/batching architecture for the role.</x:v>
      </x:c>
      <x:c r="E5" s="3" t="str">
        <x:v>Not applicable only when architecture has no meaningful scale implication. This is not a measured FPS score.</x:v>
      </x:c>
    </x:row>
    <x:row r="6" ht="15" hidden="0" customHeight="1">
      <x:c r="A6" s="3" t="str">
        <x:v>react_next</x:v>
      </x:c>
      <x:c r="B6" s="3" t="str">
        <x:v>Heavy manual integration or poor lifecycle/type fit.</x:v>
      </x:c>
      <x:c r="C6" s="3" t="str">
        <x:v>Usable wrapper or client-only imperative integration.</x:v>
      </x:c>
      <x:c r="D6" s="3" t="str">
        <x:v>Native composable React APIs, types and clear Next integration.</x:v>
      </x:c>
      <x:c r="E6" s="3" t="str">
        <x:v>Rare; CSS/assets are assessed on integration simplicity.</x:v>
      </x:c>
    </x:row>
    <x:row r="7" ht="15" hidden="0" customHeight="1">
      <x:c r="A7" s="3" t="str">
        <x:v>docs</x:v>
      </x:c>
      <x:c r="B7" s="3" t="str">
        <x:v>Sparse or stale instructions and few usable examples.</x:v>
      </x:c>
      <x:c r="C7" s="3" t="str">
        <x:v>Sufficient API/getting-started material, limited task guidance.</x:v>
      </x:c>
      <x:c r="D7" s="3" t="str">
        <x:v>Clear current guides, working examples and stated limitations.</x:v>
      </x:c>
      <x:c r="E7" s="3" t="str">
        <x:v>Not used for curated implementation resources.</x:v>
      </x:c>
    </x:row>
    <x:row r="8" ht="15" hidden="0" customHeight="1">
      <x:c r="A8" s="3" t="str">
        <x:v>health</x:v>
      </x:c>
      <x:c r="B8" s="3" t="str">
        <x:v>Unmaintained or severely uncertain; cannot pass the activity gate.</x:v>
      </x:c>
      <x:c r="C8" s="3" t="str">
        <x:v>Active but small/young or undergoing significant change.</x:v>
      </x:c>
      <x:c r="D8" s="3" t="str">
        <x:v>Established maintainers/backing and meaningful current delivery.</x:v>
      </x:c>
      <x:c r="E8" s="3" t="str">
        <x:v>Not used. Stars alone do not determine health.</x:v>
      </x:c>
    </x:row>
    <x:row r="9" ht="15" hidden="0" customHeight="1">
      <x:c r="A9" s="3" t="str">
        <x:v>ease</x:v>
      </x:c>
      <x:c r="B9" s="3" t="str">
        <x:v>Whole application/platform ownership or substantial custom infrastructure.</x:v>
      </x:c>
      <x:c r="C9" s="3" t="str">
        <x:v>Moderate wrappers, architecture or integration work.</x:v>
      </x:c>
      <x:c r="D9" s="3" t="str">
        <x:v>Straightforward adoption for its stated job with little operational burden.</x:v>
      </x:c>
      <x:c r="E9" s="3" t="str">
        <x:v>Not used. Effort is relative to the role, not measured hours.</x:v>
      </x:c>
    </x:row>
  </x:sheetData>
  <x:pageMargins left="0.7" right="0.7" top="0.75" bottom="0.75" header="0.3" footer="0.3"/>
  <x:tableParts count="1">
    <x:tablePart xmlns:r="http://schemas.openxmlformats.org/officeDocument/2006/relationships" r:id="R89e29c1d388a4212"/>
  </x:tableParts>
</x:worksheet>
</file>

<file path=xl/worksheets/sheet1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 hidden="0" customWidth="1"/>
    <x:col min="2" max="2" width="30" hidden="0" customWidth="1"/>
    <x:col min="3" max="3" width="65" hidden="0" customWidth="1"/>
    <x:col min="4" max="4" width="85" hidden="0" customWidth="1"/>
    <x:col min="5" max="5" width="65" hidden="0" customWidth="1"/>
    <x:col min="6" max="6" width="40" hidden="0" customWidth="1"/>
    <x:col min="7" max="7" width="105" hidden="0" customWidth="1"/>
    <x:col min="8" max="8" width="37" hidden="0" customWidth="1"/>
    <x:col min="9" max="9" width="25" hidden="0" customWidth="1"/>
  </x:cols>
  <x:sheetData>
    <x:row r="1" ht="38" hidden="0" customHeight="1">
      <x:c r="A1" s="20" t="str">
        <x:v>Name / lead</x:v>
      </x:c>
      <x:c r="B1" s="20" t="str">
        <x:v>Discovery type</x:v>
      </x:c>
      <x:c r="C1" s="20" t="str">
        <x:v>Discovery URL</x:v>
      </x:c>
      <x:c r="D1" s="20" t="str">
        <x:v>What surfaced it</x:v>
      </x:c>
      <x:c r="E1" s="20" t="str">
        <x:v>Primary verification URL</x:v>
      </x:c>
      <x:c r="F1" s="20" t="str">
        <x:v>Decision</x:v>
      </x:c>
      <x:c r="G1" s="20" t="str">
        <x:v>Reason</x:v>
      </x:c>
      <x:c r="H1" s="20" t="str">
        <x:v>Final catalogue status</x:v>
      </x:c>
      <x:c r="I1" s="20" t="str">
        <x:v>Resource ID</x:v>
      </x:c>
    </x:row>
    <x:row r="2" ht="24" hidden="0" customHeight="1">
      <x:c r="A2" s="3" t="str">
        <x:v>nuqs</x:v>
      </x:c>
      <x:c r="B2" s="3" t="str">
        <x:v>social_hacker_news</x:v>
      </x:c>
      <x:c r="C2" s="3" t="str">
        <x:v>https://news.ycombinator.com/item?id=41690087</x:v>
      </x:c>
      <x:c r="D2" s="3" t="str">
        <x:v>Author discussed moving React state to the URL and expanding beyond Next.js; an older discovery trail reverified against October 2026 primary releases.</x:v>
      </x:c>
      <x:c r="E2" s="3" t="str">
        <x:v>https://github.com/47ng/nuqs</x:v>
      </x:c>
      <x:c r="F2" s="3" t="str">
        <x:v>add_core</x:v>
      </x:c>
      <x:c r="G2" s="3" t="str">
        <x:v>Fills shareable/reloadable filter and navigation state with typed parsers; current v2.10.2 released 2026-10-08. Complements table/cache/UI libraries.</x:v>
      </x:c>
      <x:c r="H2" s="3" t="str">
        <x:v>included_scoped_resource</x:v>
      </x:c>
      <x:c r="I2" s="3" t="str">
        <x:v>nuqs</x:v>
      </x:c>
    </x:row>
    <x:row r="3" ht="24" hidden="0" customHeight="1">
      <x:c r="A3" s="3" t="str">
        <x:v>Ark UI</x:v>
      </x:c>
      <x:c r="B3" s="3" t="str">
        <x:v>social_reddit</x:v>
      </x:c>
      <x:c r="C3" s="3" t="str">
        <x:v>https://www.reddit.com/r/reactjs/comments/16fs8m1/can_anyone_tell_me_what_the_new_ui_libraries_are/</x:v>
      </x:c>
      <x:c r="D3" s="3" t="str">
        <x:v>Community discussion separated behaviour, styling and components in the Chakra/Zag/Ark/Panda ecosystem; creator explanation and current APIs were then checked.</x:v>
      </x:c>
      <x:c r="E3" s="3" t="str">
        <x:v>https://github.com/chakra-ui/ark</x:v>
      </x:c>
      <x:c r="F3" s="3" t="str">
        <x:v>add_situational</x:v>
      </x:c>
      <x:c r="G3" s="3" t="str">
        <x:v>Active MIT cross-framework behaviour layer, useful tree/file controls and documented lazy/virtualised tree patterns. Stable React 5.39.3 is distinct from v6 next prerelease.</x:v>
      </x:c>
      <x:c r="H3" s="3" t="str">
        <x:v>included_scoped_resource</x:v>
      </x:c>
      <x:c r="I3" s="3" t="str">
        <x:v>ark_ui</x:v>
      </x:c>
    </x:row>
    <x:row r="4" ht="24" hidden="0" customHeight="1">
      <x:c r="A4" s="3" t="str">
        <x:v>React Query Builder</x:v>
      </x:c>
      <x:c r="B4" s="3" t="str">
        <x:v>expert_blog</x:v>
      </x:c>
      <x:c r="C4" s="3" t="str">
        <x:v>https://sergiocarracedo.es/query-builder-filter-data/</x:v>
      </x:c>
      <x:c r="D4" s="3" t="str">
        <x:v>An independent practitioner article describes nested filter-group modelling; this prompted a focused comparison rather than relying on a library listicle.</x:v>
      </x:c>
      <x:c r="E4" s="3" t="str">
        <x:v>https://react-querybuilder.js.org/docs/compat</x:v>
      </x:c>
      <x:c r="F4" s="3" t="str">
        <x:v>add_situational</x:v>
      </x:c>
      <x:c r="G4" s="3" t="str">
        <x:v>Active MIT library and current shadcn registry fill explicit nested-rule editing beyond simple filter chips; export/control logic stays separate from backend execution.</x:v>
      </x:c>
      <x:c r="H4" s="3" t="str">
        <x:v>reference_or_not_shortlisted</x:v>
      </x:c>
      <x:c r="I4" s="3" t="str"/>
    </x:row>
    <x:row r="5" ht="24" hidden="0" customHeight="1">
      <x:c r="A5" s="3" t="str">
        <x:v>Novu Inbox</x:v>
      </x:c>
      <x:c r="B5" s="3" t="str">
        <x:v>social_reddit</x:v>
      </x:c>
      <x:c r="C5" s="3" t="str">
        <x:v>https://www.reddit.com/r/reactjs/comments/1je3p1u</x:v>
      </x:c>
      <x:c r="D5" s="3" t="str">
        <x:v>Project launch post for an open-source React notification inbox; self-hosting discussion raised edition and operational questions, verified against current repository/docs.</x:v>
      </x:c>
      <x:c r="E5" s="3" t="str">
        <x:v>https://github.com/novuhq/novu</x:v>
      </x:c>
      <x:c r="F5" s="3" t="str">
        <x:v>add_situational_scoped_core</x:v>
      </x:c>
      <x:c r="G5" s="3" t="str">
        <x:v>A meaningful durable-inbox/notification-infrastructure addition, with MIT core/ISC SDK manifests and explicit proprietary enterprise exclusions. SDK release 2026-09-07 and current code commits verify maintenance.</x:v>
      </x:c>
      <x:c r="H5" s="3" t="str">
        <x:v>included_scoped_resource</x:v>
      </x:c>
      <x:c r="I5" s="3" t="str">
        <x:v>novu_inbox</x:v>
      </x:c>
    </x:row>
    <x:row r="6" ht="24" hidden="0" customHeight="1">
      <x:c r="A6" s="3" t="str">
        <x:v>Kokonut UI</x:v>
      </x:c>
      <x:c r="B6" s="3" t="str">
        <x:v>live_showcase_and_social_trail</x:v>
      </x:c>
      <x:c r="C6" s="3" t="str">
        <x:v>https://kokonutui.com/</x:v>
      </x:c>
      <x:c r="D6" s="3" t="str">
        <x:v>Current component gallery exposes working-moment previews and links social posts; X post was inaccessible, so no claim relies on its endorsement.</x:v>
      </x:c>
      <x:c r="E6" s="3" t="str">
        <x:v>https://github.com/kokonut-labs/kokonutui</x:v>
      </x:c>
      <x:c r="F6" s="3" t="str">
        <x:v>add_watch_scoped_free_components</x:v>
      </x:c>
      <x:c r="G6" s="3" t="str">
        <x:v>Current MIT source includes useful agent review, metric and media moments rather than just decorative hero effects; 2026-10-17 metric interaction commit verified. Visual/keyboard integration remains to validate.</x:v>
      </x:c>
      <x:c r="H6" s="3" t="str">
        <x:v>included_scoped_resource</x:v>
      </x:c>
      <x:c r="I6" s="3" t="str">
        <x:v>kokonut_ui</x:v>
      </x:c>
    </x:row>
    <x:row r="7" ht="24" hidden="0" customHeight="1">
      <x:c r="A7" s="3" t="str">
        <x:v>Zag.js</x:v>
      </x:c>
      <x:c r="B7" s="3" t="str">
        <x:v>expert_creator_blog</x:v>
      </x:c>
      <x:c r="C7" s="3" t="str">
        <x:v>https://www.adebayosegun.com/blog/chakra-panda-ark-whats-the-plan</x:v>
      </x:c>
      <x:c r="D7" s="3" t="str">
        <x:v>Creator explains state machines as the behaviour layer beneath Ark; historical architecture discovery refreshed with current GitHub evidence.</x:v>
      </x:c>
      <x:c r="E7" s="3" t="str">
        <x:v>https://github.com/chakra-ui/zag</x:v>
      </x:c>
      <x:c r="F7" s="3" t="str">
        <x:v>considered_underlying_layer_not_added</x:v>
      </x:c>
      <x:c r="G7" s="3" t="str">
        <x:v>MIT and active 2026-10-17. Useful for lower-level custom behaviour or nonstandard frameworks, but adding it as an equivalent UI kit would double-count Ark's underlying implementation. Higher wiring burden than selected Ark/Base UI/React Aria.</x:v>
      </x:c>
      <x:c r="H7" s="3" t="str">
        <x:v>reference_or_not_shortlisted</x:v>
      </x:c>
      <x:c r="I7" s="3" t="str"/>
    </x:row>
    <x:row r="8" ht="24" hidden="0" customHeight="1">
      <x:c r="A8" s="3" t="str">
        <x:v>Panda CSS</x:v>
      </x:c>
      <x:c r="B8" s="3" t="str">
        <x:v>expert_practitioner_blog</x:v>
      </x:c>
      <x:c r="C8" s="3" t="str">
        <x:v>https://operationnation.co/blog/nextjs-app-router-migration-with-sanity-part-2</x:v>
      </x:c>
      <x:c r="D8" s="3" t="str">
        <x:v>A real Next.js App Router styling/performance migration discusses Panda+Ark and Park; primary v2 metadata and current integration docs checked.</x:v>
      </x:c>
      <x:c r="E8" s="3" t="str">
        <x:v>https://github.com/chakra-ui/panda</x:v>
      </x:c>
      <x:c r="F8" s="3" t="str">
        <x:v>considered_architecture_alternative_not_added</x:v>
      </x:c>
      <x:c r="G8" s="3" t="str">
        <x:v>MIT and active: 2.2.0 packages released 2026-10-09; October 17 Studio work. Strong typed recipes/static CSS alternative when adopting that stack, but no uncovered job requires replacing existing Tailwind+Style Dictionary in this generator. Account for v2 migration rather than mixing engines.</x:v>
      </x:c>
      <x:c r="H8" s="3" t="str">
        <x:v>reference_or_not_shortlisted</x:v>
      </x:c>
      <x:c r="I8" s="3" t="str"/>
    </x:row>
    <x:row r="9" ht="24" hidden="0" customHeight="1">
      <x:c r="A9" s="3" t="str">
        <x:v>Park UI</x:v>
      </x:c>
      <x:c r="B9" s="3" t="str">
        <x:v>expert_practitioner_blog</x:v>
      </x:c>
      <x:c r="C9" s="3" t="str">
        <x:v>https://operationnation.co/blog/nextjs-app-router-migration-with-sanity-part-2</x:v>
      </x:c>
      <x:c r="D9" s="3" t="str">
        <x:v>Practitioner migration uses Park as styled Ark+Panda; checked the moved canonical repository instead of assuming ecosystem maintenance carries across.</x:v>
      </x:c>
      <x:c r="E9" s="3" t="str">
        <x:v>https://github.com/chakra-ui/park-ui</x:v>
      </x:c>
      <x:c r="F9" s="3" t="str">
        <x:v>reject_maintenance_gate</x:v>
      </x:c>
      <x:c r="G9" s="3" t="str">
        <x:v>MIT, but latest default-branch code commit 2026-02-21 and latest GitHub release 2024-11-22 are outside Apr17-Oct17. Ark/Panda activity does not qualify Park itself.</x:v>
      </x:c>
      <x:c r="H9" s="3" t="str">
        <x:v>reference_or_not_shortlisted</x:v>
      </x:c>
      <x:c r="I9" s="3" t="str"/>
    </x:row>
    <x:row r="10" ht="24" hidden="0" customHeight="1">
      <x:c r="A10" s="3" t="str">
        <x:v>Intent UI</x:v>
      </x:c>
      <x:c r="B10" s="3" t="str">
        <x:v>social_reddit</x:v>
      </x:c>
      <x:c r="C10" s="3" t="str">
        <x:v>https://www.reddit.com/r/reactjs/comments/1ntm8fe/could_you_recommend_a_react_ui_lib_to_me/</x:v>
      </x:c>
      <x:c r="D10" s="3" t="str">
        <x:v>Community recommendation for source-owned React Aria controls; current canonical repository moved to irsyadadl/intentui and uses 4.x.</x:v>
      </x:c>
      <x:c r="E10" s="3" t="str">
        <x:v>https://github.com/irsyadadl/intentui</x:v>
      </x:c>
      <x:c r="F10" s="3" t="str">
        <x:v>considered_strong_alternative_not_added</x:v>
      </x:c>
      <x:c r="G10" s="3" t="str">
        <x:v>MIT and active: v4.0.2 on 2026-10-15, meaningful keyboard focus fix. A credible styled React Aria alternative, but overlaps selected shadcn/React Aria and needs an intentional visual-system switch. Do not label abandoned because its older CLI/org snapshots are stale; paid blocks/templates remain separate.</x:v>
      </x:c>
      <x:c r="H10" s="3" t="str">
        <x:v>reference_or_not_shortlisted</x:v>
      </x:c>
      <x:c r="I10" s="3" t="str"/>
    </x:row>
    <x:row r="11" ht="24" hidden="0" customHeight="1">
      <x:c r="A11" s="3" t="str">
        <x:v>Animate UI</x:v>
      </x:c>
      <x:c r="B11" s="3" t="str">
        <x:v>showcase_directory</x:v>
      </x:c>
      <x:c r="C11" s="3" t="str">
        <x:v>https://21st.dev/community/libraries/s/motion</x:v>
      </x:c>
      <x:c r="D11" s="3" t="str">
        <x:v>Motion component directory and Reddit animated-sidebar posts surfaced a polished library; actual licence and repository history contradicted the marketing summary.</x:v>
      </x:c>
      <x:c r="E11" s="3" t="str">
        <x:v>https://github.com/imskyleen/animate-ui</x:v>
      </x:c>
      <x:c r="F11" s="3" t="str">
        <x:v>reject_licence_and_maintenance</x:v>
      </x:c>
      <x:c r="G11" s="3" t="str">
        <x:v>README says MIT, but actual LICENSE.md is MIT+Commons Clause with restrictions on redistributing the components themselves. Last default-branch commit is 2025-12-31. Both licence and six-month maintenance fail.</x:v>
      </x:c>
      <x:c r="H11" s="3" t="str">
        <x:v>reference_or_not_shortlisted</x:v>
      </x:c>
      <x:c r="I11" s="3" t="str"/>
    </x:row>
    <x:row r="12" ht="24" hidden="0" customHeight="1">
      <x:c r="A12" s="3" t="str">
        <x:v>Kibo UI</x:v>
      </x:c>
      <x:c r="B12" s="3" t="str">
        <x:v>popular_github_registry</x:v>
      </x:c>
      <x:c r="C12" s="3" t="str">
        <x:v>https://github.com/shadcnblocks/kibo</x:v>
      </x:c>
      <x:c r="D12" s="3" t="str">
        <x:v>~4k-star shadcn registry with broad desktop controls, originally haydenbleasel/kibo; checked current owner and substantive history.</x:v>
      </x:c>
      <x:c r="E12" s="3" t="str">
        <x:v>https://github.com/shadcnblocks/kibo</x:v>
      </x:c>
      <x:c r="F12" s="3" t="str">
        <x:v>reject_meaningful_maintenance_not_established</x:v>
      </x:c>
      <x:c r="G12" s="3" t="str">
        <x:v>MIT. Only in-window commit observed is 2026-05-04 badge replacement; prior Blocks work is 2026-03-09 and latest release 2025-10-29. A badge/docs marketing edit does not establish meaningful UI maintenance.</x:v>
      </x:c>
      <x:c r="H12" s="3" t="str">
        <x:v>reference_or_not_shortlisted</x:v>
      </x:c>
      <x:c r="I12" s="3" t="str"/>
    </x:row>
    <x:row r="13" ht="24" hidden="0" customHeight="1">
      <x:c r="A13" s="3" t="str">
        <x:v>web-vitals</x:v>
      </x:c>
      <x:c r="B13" s="3" t="str">
        <x:v>popular_github_measurement_tool</x:v>
      </x:c>
      <x:c r="C13" s="3" t="str">
        <x:v>https://github.com/GoogleChrome/web-vitals</x:v>
      </x:c>
      <x:c r="D13" s="3" t="str">
        <x:v>Revisited the original A8 starter as a measurement layer rather than a design generator.</x:v>
      </x:c>
      <x:c r="E13" s="3" t="str">
        <x:v>https://github.com/GoogleChrome/web-vitals</x:v>
      </x:c>
      <x:c r="F13" s="3" t="str">
        <x:v>reference_measurement_companion</x:v>
      </x:c>
      <x:c r="G13" s="3" t="str">
        <x:v>Apache-2.0; meaningful INP/LCP fixes October 15-16 2026. Valuable shared verification tooling, but it measures responsiveness and does not produce UI. Keep in A8 test protocol instead of counting as another visual resource.</x:v>
      </x:c>
      <x:c r="H13" s="3" t="str">
        <x:v>reference_or_not_shortlisted</x:v>
      </x:c>
      <x:c r="I13" s="3" t="str"/>
    </x:row>
    <x:row r="14" ht="24" hidden="0" customHeight="1">
      <x:c r="A14" s="3" t="str">
        <x:v>dnd-kit</x:v>
      </x:c>
      <x:c r="B14" s="3" t="str">
        <x:v>popular_github_interaction_engine</x:v>
      </x:c>
      <x:c r="C14" s="3" t="str">
        <x:v>https://github.com/clauderic/dnd-kit</x:v>
      </x:c>
      <x:c r="D14" s="3" t="str">
        <x:v>~17.7k-star drag/drop toolkit checked for desktop reorder gestures; current modular multi-framework releases differ from familiar older React-only tutorials.</x:v>
      </x:c>
      <x:c r="E14" s="3" t="str">
        <x:v>https://github.com/clauderic/dnd-kit</x:v>
      </x:c>
      <x:c r="F14" s="3" t="str">
        <x:v>considered_specialist_not_added</x:v>
      </x:c>
      <x:c r="G14" s="3" t="str">
        <x:v>MIT and active, 0.5.1 family released 2026-10-15. Keep for bespoke DOM sorting/dragging if a brief requires it; Dockview/grid/editor libraries already own their specialised interactions, and a generic engine is not a canvas/timeline or keyboard UX policy. Review current versus legacy API before adoption.</x:v>
      </x:c>
      <x:c r="H14" s="3" t="str">
        <x:v>reference_or_not_shortlisted</x:v>
      </x:c>
      <x:c r="I14" s="3" t="str"/>
    </x:row>
    <x:row r="15" ht="24" hidden="0" customHeight="1">
      <x:c r="A15" s="3" t="str">
        <x:v>PixiJS</x:v>
      </x:c>
      <x:c r="B15" s="3" t="str">
        <x:v>social_reddit</x:v>
      </x:c>
      <x:c r="C15" s="3" t="str">
        <x:v>https://www.reddit.com/r/pixijs/comments/1tpccac/building_a_highperformance_2d_editor_with_pixijs/</x:v>
      </x:c>
      <x:c r="D15" s="3" t="str">
        <x:v>May 2026 editor-builder discussion describes PixiJS as the rendering engine for a complex 2D desktop-style editor; compared with current official renderer/docs.</x:v>
      </x:c>
      <x:c r="E15" s="3" t="str">
        <x:v>https://github.com/pixijs/pixijs</x:v>
      </x:c>
      <x:c r="F15" s="3" t="str">
        <x:v>add_situational</x:v>
      </x:c>
      <x:c r="G15" s="3" t="str">
        <x:v>MIT v8.22.0 Oct1 and current code; fills a GPU 2D/filter/sprite gap distinct from Konva's Canvas editing. Social performance claims are leads, not benchmark evidence.</x:v>
      </x:c>
      <x:c r="H15" s="3" t="str">
        <x:v>included_scoped_resource</x:v>
      </x:c>
      <x:c r="I15" s="3" t="str">
        <x:v>pixijs</x:v>
      </x:c>
    </x:row>
    <x:row r="16" ht="24" hidden="0" customHeight="1">
      <x:c r="A16" s="3" t="str">
        <x:v>Loro</x:v>
      </x:c>
      <x:c r="B16" s="3" t="str">
        <x:v>social_hacker_news</x:v>
      </x:c>
      <x:c r="C16" s="3" t="str">
        <x:v>https://news.ycombinator.com/item?id=38248900</x:v>
      </x:c>
      <x:c r="D16" s="3" t="str">
        <x:v>Older HN discussion surfaced Loro's state-model approach and schema-migration concerns; fresh primary metadata rather than post age determines activity.</x:v>
      </x:c>
      <x:c r="E16" s="3" t="str">
        <x:v>https://github.com/loro-dev/loro</x:v>
      </x:c>
      <x:c r="F16" s="3" t="str">
        <x:v>add_situational</x:v>
      </x:c>
      <x:c r="G16" s="3" t="str">
        <x:v>MIT, September release and meaningful October fixes; keep only for movable-tree/version-history needs, not a universal replacement for Yjs/Automerge.</x:v>
      </x:c>
      <x:c r="H16" s="3" t="str">
        <x:v>included_scoped_resource</x:v>
      </x:c>
      <x:c r="I16" s="3" t="str">
        <x:v>loro</x:v>
      </x:c>
    </x:row>
    <x:row r="17" ht="24" hidden="0" customHeight="1">
      <x:c r="A17" s="3" t="str">
        <x:v>AntV G6</x:v>
      </x:c>
      <x:c r="B17" s="3" t="str">
        <x:v>showcase_and_popular_github</x:v>
      </x:c>
      <x:c r="C17" s="3" t="str">
        <x:v>https://g6.antv.antgroup.com/en/examples</x:v>
      </x:c>
      <x:c r="D17" s="3" t="str">
        <x:v>Graph gallery exposes information-density, force layouts, worker/GPU, combos and React-node examples; ~12.3k-star primary repo inspected.</x:v>
      </x:c>
      <x:c r="E17" s="3" t="str">
        <x:v>https://github.com/antvis/G6</x:v>
      </x:c>
      <x:c r="F17" s="3" t="str">
        <x:v>add_watch</x:v>
      </x:c>
      <x:c r="G17" s="3" t="str">
        <x:v>Current MIT graph ecosystem materially broader than the small-network fallback. Demo stalled in review, so promotion stays provisional.</x:v>
      </x:c>
      <x:c r="H17" s="3" t="str">
        <x:v>included_scoped_resource</x:v>
      </x:c>
      <x:c r="I17" s="3" t="str">
        <x:v>antv-g6</x:v>
      </x:c>
    </x:row>
    <x:row r="18" ht="24" hidden="0" customHeight="1">
      <x:c r="A18" s="3" t="str">
        <x:v>VisActor VTable</x:v>
      </x:c>
      <x:c r="B18" s="3" t="str">
        <x:v>popular_github_and_search</x:v>
      </x:c>
      <x:c r="C18" s="3" t="str">
        <x:v>https://github.com/VisActor/VTable</x:v>
      </x:c>
      <x:c r="D18" s="3" t="str">
        <x:v>~3.7k-star Canvas table repo surfaced a free pivot/Gantt capability missing from the original calendar-only shortlist.</x:v>
      </x:c>
      <x:c r="E18" s="3" t="str">
        <x:v>https://github.com/VisActor/VTable</x:v>
      </x:c>
      <x:c r="F18" s="3" t="str">
        <x:v>add_watch</x:v>
      </x:c>
      <x:c r="G18" s="3" t="str">
        <x:v>MIT/current dated release; ByteDance backing. Browser render unverified after approval-review usage interruption; evaluate accessibility and Gantt semantics before adoption.</x:v>
      </x:c>
      <x:c r="H18" s="3" t="str">
        <x:v>included_scoped_resource</x:v>
      </x:c>
      <x:c r="I18" s="3" t="str">
        <x:v>vtable</x:v>
      </x:c>
    </x:row>
    <x:row r="19" ht="24" hidden="0" customHeight="1">
      <x:c r="A19" s="3" t="str">
        <x:v>MediaBunny</x:v>
      </x:c>
      <x:c r="B19" s="3" t="str">
        <x:v>social_reddit_author_announcement</x:v>
      </x:c>
      <x:c r="C19" s="3" t="str">
        <x:v>https://www.reddit.com/r/webdev/comments/1m2ivfg/i_built_mediabunny_a_zerodependency_typescript/</x:v>
      </x:c>
      <x:c r="D19" s="3" t="str">
        <x:v>Author announcement and 2026 WebGPU editor threads identify a browser-native demux/mux/decode/export pipeline.</x:v>
      </x:c>
      <x:c r="E19" s="3" t="str">
        <x:v>https://github.com/Vanilagy/mediabunny</x:v>
      </x:c>
      <x:c r="F19" s="3" t="str">
        <x:v>exclude_from_permissive_allowlist_flag_weak_copyleft</x:v>
      </x:c>
      <x:c r="G19" s="3" t="str">
        <x:v>Primary metadata identifies MPL-2.0, with current v1.61.6 Oct16. Useful capable media primitive, but not permissive. Existing OpenReel dependency note must include MediaBunny's file-level copyleft as well as FFmpeg codec licences.</x:v>
      </x:c>
      <x:c r="H19" s="3" t="str">
        <x:v>reference_or_not_shortlisted</x:v>
      </x:c>
      <x:c r="I19" s="3" t="str"/>
    </x:row>
    <x:row r="20" ht="24" hidden="0" customHeight="1">
      <x:c r="A20" s="3" t="str">
        <x:v>WebAV</x:v>
      </x:c>
      <x:c r="B20" s="3" t="str">
        <x:v>subject_matter_expert_blog</x:v>
      </x:c>
      <x:c r="C20" s="3" t="str">
        <x:v>https://fenghen.me/posts/2024/10/31/webav-v1-released-en/</x:v>
      </x:c>
      <x:c r="D20" s="3" t="str">
        <x:v>Author's WebCodecs SDK release article plus search for browser video alternatives; old bilibili URL redirects to WebAV-Tech/WebAV.</x:v>
      </x:c>
      <x:c r="E20" s="3" t="str">
        <x:v>https://github.com/WebAV-Tech/WebAV</x:v>
      </x:c>
      <x:c r="F20" s="3" t="str">
        <x:v>exclude_current_activity_gate</x:v>
      </x:c>
      <x:c r="G20" s="3" t="str">
        <x:v>MIT but latest default-branch release/commit is 2026-01-10, before cutoff; third-party search-index freshness is not maintenance proof.</x:v>
      </x:c>
      <x:c r="H20" s="3" t="str">
        <x:v>reference_or_not_shortlisted</x:v>
      </x:c>
      <x:c r="I20" s="3" t="str"/>
    </x:row>
    <x:row r="21" ht="24" hidden="0" customHeight="1">
      <x:c r="A21" s="3" t="str">
        <x:v>LeaferJS</x:v>
      </x:c>
      <x:c r="B21" s="3" t="str">
        <x:v>showcase_and_community_directory</x:v>
      </x:c>
      <x:c r="C21" s="3" t="str">
        <x:v>https://www.leaferjs.com/</x:v>
      </x:c>
      <x:c r="D21" s="3" t="str">
        <x:v>Current Canvas editor showcase exposes plugin/editor capabilities, product examples and community-article links; compared with Konva/Pixi.</x:v>
      </x:c>
      <x:c r="E21" s="3" t="str">
        <x:v>https://github.com/leaferjs/leafer-ui</x:v>
      </x:c>
      <x:c r="F21" s="3" t="str">
        <x:v>considered_not_shortlisted</x:v>
      </x:c>
      <x:c r="G21" s="3" t="str">
        <x:v>MIT/current v2.3.1 Oct9 and promising editable Canvas engine. Not enough new value over selected Konva/Pixi for another default; many advanced industrial editor functions are optional commercial PxGrow plugins, and vendor benchmark numbers were not independently verified.</x:v>
      </x:c>
      <x:c r="H21" s="3" t="str">
        <x:v>reference_or_not_shortlisted</x:v>
      </x:c>
      <x:c r="I21" s="3" t="str"/>
    </x:row>
    <x:row r="22" ht="24" hidden="0" customHeight="1">
      <x:c r="A22" s="3" t="str">
        <x:v>Theatre.js</x:v>
      </x:c>
      <x:c r="B22" s="3" t="str">
        <x:v>popular_github_and_search</x:v>
      </x:c>
      <x:c r="C22" s="3" t="str">
        <x:v>https://github.com/theatre-js/theatre</x:v>
      </x:c>
      <x:c r="D22" s="3" t="str">
        <x:v>~12.8k-star visual animation editor found during the motion/3D editor sweep.</x:v>
      </x:c>
      <x:c r="E22" s="3" t="str">
        <x:v>https://github.com/theatre-js/theatre</x:v>
      </x:c>
      <x:c r="F22" s="3" t="str">
        <x:v>exclude_current_activity_gate</x:v>
      </x:c>
      <x:c r="G22" s="3" t="str">
        <x:v>Repository metadata Apache-2.0, but latest default-branch commit observed Apr2024 and pushed Aug2024. Exclude for maintenance, not an assumed source-available licence.</x:v>
      </x:c>
      <x:c r="H22" s="3" t="str">
        <x:v>reference_or_not_shortlisted</x:v>
      </x:c>
      <x:c r="I22" s="3" t="str"/>
    </x:row>
    <x:row r="23" ht="24" hidden="0" customHeight="1">
      <x:c r="A23" s="3" t="str">
        <x:v>TresJS</x:v>
      </x:c>
      <x:c r="B23" s="3" t="str">
        <x:v>popular_github_and_search</x:v>
      </x:c>
      <x:c r="C23" s="3" t="str">
        <x:v>https://github.com/Tresjs/tres</x:v>
      </x:c>
      <x:c r="D23" s="3" t="str">
        <x:v>~3.8k-star declarative Vue/Three.js renderer surfaced as a non-React 3D alternative.</x:v>
      </x:c>
      <x:c r="E23" s="3" t="str">
        <x:v>https://github.com/Tresjs/tres</x:v>
      </x:c>
      <x:c r="F23" s="3" t="str">
        <x:v>considered_not_shortlisted_stack_fit</x:v>
      </x:c>
      <x:c r="G23" s="3" t="str">
        <x:v>MIT and current monorepo post-processing release Oct7. Vue focus adds little to this React/Next generator while R3F is already established; record as a Vue-stack alternative, not an abandoned project.</x:v>
      </x:c>
      <x:c r="H23" s="3" t="str">
        <x:v>reference_or_not_shortlisted</x:v>
      </x:c>
      <x:c r="I23" s="3" t="str"/>
    </x:row>
    <x:row r="24" ht="24" hidden="0" customHeight="1">
      <x:c r="A24" s="3" t="str">
        <x:v>AntV L7</x:v>
      </x:c>
      <x:c r="B24" s="3" t="str">
        <x:v>popular_github_and_search</x:v>
      </x:c>
      <x:c r="C24" s="3" t="str">
        <x:v>https://github.com/antvis/L7</x:v>
      </x:c>
      <x:c r="D24" s="3" t="str">
        <x:v>WebGL geospatial engine found alongside G6 and the AntV product ecosystem.</x:v>
      </x:c>
      <x:c r="E24" s="3" t="str">
        <x:v>https://github.com/antvis/L7</x:v>
      </x:c>
      <x:c r="F24" s="3" t="str">
        <x:v>considered_not_shortlisted_overlap</x:v>
      </x:c>
      <x:c r="G24" s="3" t="str">
        <x:v>MIT; current beta/version commits July2026 despite old GitHub latest release Mar2025. Overlaps MapLibre/deck.gl and adds migration/beta uncertainty without a demonstrated uncovered map capability.</x:v>
      </x:c>
      <x:c r="H24" s="3" t="str">
        <x:v>reference_or_not_shortlisted</x:v>
      </x:c>
      <x:c r="I24" s="3" t="str"/>
    </x:row>
    <x:row r="25" ht="15" hidden="0" customHeight="1">
      <x:c r="A25" s="3" t="str">
        <x:v>Rive web runtime</x:v>
      </x:c>
      <x:c r="B25" s="3" t="str">
        <x:v>popular_github_and_search</x:v>
      </x:c>
      <x:c r="C25" s="3" t="str">
        <x:v>https://github.com/rive-app/rive-wasm</x:v>
      </x:c>
      <x:c r="D25" s="3" t="str">
        <x:v>State-machine animation runtime evaluated for authored interactive motion and onboarding scenes.</x:v>
      </x:c>
      <x:c r="E25" s="3" t="str">
        <x:v>https://github.com/rive-app/rive-wasm</x:v>
      </x:c>
      <x:c r="F25" s="3" t="str">
        <x:v>merged_into_scoped_runtime_addition</x:v>
      </x:c>
      <x:c r="G25" s="3" t="str">
        <x:v>Merged into rive_runtime in the final catalogue. MIT playback runtime only; authoring editor and assets have separate terms.</x:v>
      </x:c>
      <x:c r="H25" s="3" t="str">
        <x:v>included_scoped_runtime</x:v>
      </x:c>
      <x:c r="I25" s="3" t="str">
        <x:v>rive_runtime</x:v>
      </x:c>
    </x:row>
    <x:row r="26" ht="24" hidden="0" customHeight="1">
      <x:c r="A26" s="3" t="str">
        <x:v>Plotly.js GPU/3D traces</x:v>
      </x:c>
      <x:c r="B26" s="3" t="str">
        <x:v>specialist_showcase_re_evaluation</x:v>
      </x:c>
      <x:c r="C26" s="3" t="str">
        <x:v>https://plotly.com/javascript/3d-charts/</x:v>
      </x:c>
      <x:c r="D26" s="3" t="str">
        <x:v>Revisited previous scattergl-only exclusion with broader 3D/scientific capability and v4.1.2 Oct5 primary release.</x:v>
      </x:c>
      <x:c r="E26" s="3" t="str">
        <x:v>https://github.com/plotly/plotly.js</x:v>
      </x:c>
      <x:c r="F26" s="3" t="str">
        <x:v>retain_as_specialist_review_not_new_visual_default</x:v>
      </x:c>
      <x:c r="G26" s="3" t="str">
        <x:v>MIT and active; GPU scatter/3D can add scientific capability, but the default scientific chart chrome needs app-level theming and no new rendered benchmark was completed. Prior omission is visual/scope curation, not a licence or activity failure.</x:v>
      </x:c>
      <x:c r="H26" s="3" t="str">
        <x:v>reference_or_not_shortlisted</x:v>
      </x:c>
      <x:c r="I26" s="3" t="str"/>
    </x:row>
    <x:row r="27" ht="15" hidden="0" customHeight="1">
      <x:c r="A27" s="3" t="str">
        <x:v>json-render</x:v>
      </x:c>
      <x:c r="B27" s="3" t="str">
        <x:v>social_hacker_news</x:v>
      </x:c>
      <x:c r="C27" s="3" t="str">
        <x:v>https://news.ycombinator.com/item?id=46746570</x:v>
      </x:c>
      <x:c r="D27" s="3" t="str">
        <x:v>Discussion of JSON-to-UI and text-to-dashboard experiments.</x:v>
      </x:c>
      <x:c r="E27" s="3" t="str">
        <x:v>https://github.com/vercel-labs/json-render</x:v>
      </x:c>
      <x:c r="F27" s="3" t="str">
        <x:v>add_situational</x:v>
      </x:c>
      <x:c r="G27" s="3" t="str">
        <x:v>Apache2.0 and substantive Oct13 release; fills catalog-constrained E5 dashboard composition with distinct data binding/export features.</x:v>
      </x:c>
      <x:c r="H27" s="3" t="str">
        <x:v>included_scoped_resource</x:v>
      </x:c>
      <x:c r="I27" s="3" t="str">
        <x:v>json_render</x:v>
      </x:c>
    </x:row>
    <x:row r="28" ht="24" hidden="0" customHeight="1">
      <x:c r="A28" s="3" t="str">
        <x:v>OpenUI (Thesys)</x:v>
      </x:c>
      <x:c r="B28" s="3" t="str">
        <x:v>social_reddit</x:v>
      </x:c>
      <x:c r="C28" s="3" t="str">
        <x:v>https://www.reddit.com/r/developersIndia/comments/1rqrlde/im_building_a_generative_ui_framework_called/</x:v>
      </x:c>
      <x:c r="D28" s="3" t="str">
        <x:v>Developer-posted generative UI demo; separately discussed on HN at item48770133.</x:v>
      </x:c>
      <x:c r="E28" s="3" t="str">
        <x:v>https://github.com/thesysdev/openui</x:v>
      </x:c>
      <x:c r="F28" s="3" t="str">
        <x:v>add_situational</x:v>
      </x:c>
      <x:c r="G28" s="3" t="str">
        <x:v>MIT with substantive Oct12/15 React/language releases; polished specialized agent/dashboards. Keep own format/cloud distinction explicit.</x:v>
      </x:c>
      <x:c r="H28" s="3" t="str">
        <x:v>included_scoped_resource</x:v>
      </x:c>
      <x:c r="I28" s="3" t="str">
        <x:v>openui_thesys</x:v>
      </x:c>
    </x:row>
    <x:row r="29" ht="15" hidden="0" customHeight="1">
      <x:c r="A29" s="3" t="str">
        <x:v>Rive runtime</x:v>
      </x:c>
      <x:c r="B29" s="3" t="str">
        <x:v>social_hacker_news</x:v>
      </x:c>
      <x:c r="C29" s="3" t="str">
        <x:v>https://news.ycombinator.com/item?id=33812826</x:v>
      </x:c>
      <x:c r="D29" s="3" t="str">
        <x:v>Flash-versus-modern-web thread distinguishes proprietary authoring from open Rive runtimes.</x:v>
      </x:c>
      <x:c r="E29" s="3" t="str">
        <x:v>https://github.com/rive-app/rive-wasm</x:v>
      </x:c>
      <x:c r="F29" s="3" t="str">
        <x:v>add_situational_scoped</x:v>
      </x:c>
      <x:c r="G29" s="3" t="str">
        <x:v>MIT playback and current meaningful code/release. Adds stateful authored vector motion, conditional on separate authoring/export needs.</x:v>
      </x:c>
      <x:c r="H29" s="3" t="str">
        <x:v>included_scoped_runtime</x:v>
      </x:c>
      <x:c r="I29" s="3" t="str">
        <x:v>rive_runtime</x:v>
      </x:c>
    </x:row>
    <x:row r="30" ht="24" hidden="0" customHeight="1">
      <x:c r="A30" s="3" t="str">
        <x:v>Tambo</x:v>
      </x:c>
      <x:c r="B30" s="3" t="str">
        <x:v>social_product_hunt</x:v>
      </x:c>
      <x:c r="C30" s="3" t="str">
        <x:v>https://www.producthunt.com/products/tambo</x:v>
      </x:c>
      <x:c r="D30" s="3" t="str">
        <x:v>Popular generative-React discovery, reinforced by HN launch item46966182.</x:v>
      </x:c>
      <x:c r="E30" s="3" t="str">
        <x:v>https://github.com/tambo-ai/tambo/blob/main/README.md</x:v>
      </x:c>
      <x:c r="F30" s="3" t="str">
        <x:v>reject_new_core_adoption_watch</x:v>
      </x:c>
      <x:c r="G30" s="3" t="str">
        <x:v>Fresh primary notice overrides popular launch coverage: new signups closed, hosted API ends31Oct2026, user data deleted30Nov; team pivot. Self-hostable MIT/Apache code remains but continuing support risk is material.</x:v>
      </x:c>
      <x:c r="H30" s="3" t="str">
        <x:v>reference_or_not_shortlisted</x:v>
      </x:c>
      <x:c r="I30" s="3" t="str"/>
    </x:row>
    <x:row r="31" ht="15" hidden="0" customHeight="1">
      <x:c r="A31" s="3" t="str">
        <x:v>Lottie Web</x:v>
      </x:c>
      <x:c r="B31" s="3" t="str">
        <x:v>popular_github</x:v>
      </x:c>
      <x:c r="C31" s="3" t="str">
        <x:v>https://github.com/airbnb/lottie-web</x:v>
      </x:c>
      <x:c r="D31" s="3" t="str">
        <x:v>High-adoption animation renderer examined as Rive alternative.</x:v>
      </x:c>
      <x:c r="E31" s="3" t="str">
        <x:v>https://api.github.com/repos/airbnb/lottie-web/commits?per_page=1</x:v>
      </x:c>
      <x:c r="F31" s="3" t="str">
        <x:v>reject_maintenance</x:v>
      </x:c>
      <x:c r="G31" s="3" t="str">
        <x:v>MIT but latest observed code commit19Nov2024; fails six-month criterion despite32k stars. Lottie asset marketplaces/authoring licences are separate.</x:v>
      </x:c>
      <x:c r="H31" s="3" t="str">
        <x:v>reference_or_not_shortlisted</x:v>
      </x:c>
      <x:c r="I31" s="3" t="str"/>
    </x:row>
    <x:row r="32" ht="24" hidden="0" customHeight="1">
      <x:c r="A32" s="3" t="str">
        <x:v>W&amp;B OpenUI</x:v>
      </x:c>
      <x:c r="B32" s="3" t="str">
        <x:v>popular_github</x:v>
      </x:c>
      <x:c r="C32" s="3" t="str">
        <x:v>https://github.com/wandb/openui</x:v>
      </x:c>
      <x:c r="D32" s="3" t="str">
        <x:v>Name collision and popular22k-star generative UI repository.</x:v>
      </x:c>
      <x:c r="E32" s="3" t="str">
        <x:v>https://api.github.com/repos/wandb/openui/commits?per_page=15</x:v>
      </x:c>
      <x:c r="F32" s="3" t="str">
        <x:v>defer_scope_and_substantive_activity</x:v>
      </x:c>
      <x:c r="G32" s="3" t="str">
        <x:v>Apache2.0; recentJun2026 changes are CI dependency/security pinning, last observed product code2025. Code-generation demo overlaps generator rather than reusable runtime. Do not confuse with active Thesys OpenUI.</x:v>
      </x:c>
      <x:c r="H32" s="3" t="str">
        <x:v>reference_or_not_shortlisted</x:v>
      </x:c>
      <x:c r="I32" s="3" t="str"/>
    </x:row>
    <x:row r="33" ht="24" hidden="0" customHeight="1">
      <x:c r="A33" s="3" t="str">
        <x:v>A2UI</x:v>
      </x:c>
      <x:c r="B33" s="3" t="str">
        <x:v>social_hacker_news</x:v>
      </x:c>
      <x:c r="C33" s="3" t="str">
        <x:v>https://news.ycombinator.com/item?id=46966182</x:v>
      </x:c>
      <x:c r="D33" s="3" t="str">
        <x:v>Commenters compare Tambo with Google's A2UI and ask about interoperability.</x:v>
      </x:c>
      <x:c r="E33" s="3" t="str">
        <x:v>https://github.com/a2ui-project/a2ui</x:v>
      </x:c>
      <x:c r="F33" s="3" t="str">
        <x:v>reference_watch_protocol</x:v>
      </x:c>
      <x:c r="G33" s="3" t="str">
        <x:v>Apache2.0; primary README now calls0.9.1 stable protocol family and1.0releasecandidate, still early public preview. Useful constrained interchange and Theater examples, rather than another full polished React UX stack.</x:v>
      </x:c>
      <x:c r="H33" s="3" t="str">
        <x:v>reference_or_not_shortlisted</x:v>
      </x:c>
      <x:c r="I33" s="3" t="str"/>
    </x:row>
    <x:row r="34" ht="24" hidden="0" customHeight="1">
      <x:c r="A34" s="3" t="str">
        <x:v>AG-UI</x:v>
      </x:c>
      <x:c r="B34" s="3" t="str">
        <x:v>popular_github</x:v>
      </x:c>
      <x:c r="C34" s="3" t="str">
        <x:v>https://github.com/ag-ui-protocol/ag-ui</x:v>
      </x:c>
      <x:c r="D34" s="3" t="str">
        <x:v>Widely adopted agent/frontend event protocol and agent adapters.</x:v>
      </x:c>
      <x:c r="E34" s="3" t="str">
        <x:v>https://github.com/ag-ui-protocol/ag-ui/releases/tag/release/2026-10-16</x:v>
      </x:c>
      <x:c r="F34" s="3" t="str">
        <x:v>reference_infrastructure_already_covered</x:v>
      </x:c>
      <x:c r="G34" s="3" t="str">
        <x:v>MIT and active; current core1.0.3 supports agent event transport. Already underlying CopilotKit/assistant-ui options; no separate visual components to justify duplicate catalogue entry.</x:v>
      </x:c>
      <x:c r="H34" s="3" t="str">
        <x:v>reference_or_not_shortlisted</x:v>
      </x:c>
      <x:c r="I34" s="3" t="str"/>
    </x:row>
    <x:row r="35" ht="24" hidden="0" customHeight="1">
      <x:c r="A35" s="3" t="str">
        <x:v>Vercel Workflow observability UI</x:v>
      </x:c>
      <x:c r="B35" s="3" t="str">
        <x:v>popular_github</x:v>
      </x:c>
      <x:c r="C35" s="3" t="str">
        <x:v>https://github.com/vercel/workflow</x:v>
      </x:c>
      <x:c r="D35" s="3" t="str">
        <x:v>README exposes a local web UI for durable workflow traces.</x:v>
      </x:c>
      <x:c r="E35" s="3" t="str">
        <x:v>https://github.com/vercel/workflow/blob/main/README.md</x:v>
      </x:c>
      <x:c r="F35" s="3" t="str">
        <x:v>reference_not_visual_library</x:v>
      </x:c>
      <x:c r="G35" s="3" t="str">
        <x:v>Useful E2 execution-observability inspiration and durable backend option; implementation is broader orchestration infrastructure, not a drop-in end-user agent work console. No new resource row.</x:v>
      </x:c>
      <x:c r="H35" s="3" t="str">
        <x:v>reference_or_not_shortlisted</x:v>
      </x:c>
      <x:c r="I35" s="3" t="str"/>
    </x:row>
    <x:row r="36" ht="24" hidden="0" customHeight="1">
      <x:c r="A36" s="3" t="str">
        <x:v>Codrops Podium storytelling case study</x:v>
      </x:c>
      <x:c r="B36" s="3" t="str">
        <x:v>showcase_sme_case_study</x:v>
      </x:c>
      <x:c r="C36" s="3" t="str">
        <x:v>https://tympanus.net/codrops/2026/06/23/podium-building-a-website-where-running-becomes-storytelling/</x:v>
      </x:c>
      <x:c r="D36" s="3" t="str">
        <x:v>Authors detail2026 Next/React/Lenis/R3F composition and restrained media-led transitions.</x:v>
      </x:c>
      <x:c r="E36" s="3" t="str">
        <x:v>https://tympanus.net/codrops/2026/06/23/podium-building-a-website-where-running-becomes-storytelling/</x:v>
      </x:c>
      <x:c r="F36" s="3" t="str">
        <x:v>add_reference_existing_tools</x:v>
      </x:c>
      <x:c r="G36" s="3" t="str">
        <x:v>Improves F1/F2 examples for existing Lenis/R3F instead of adding decorative stacks. GSAP/assets/site code require their own licences; gallery labels do not clear dependencies.</x:v>
      </x:c>
      <x:c r="H36" s="3" t="str">
        <x:v>reference_or_not_shortlisted</x:v>
      </x:c>
      <x:c r="I36" s="3" t="str"/>
    </x:row>
    <x:row r="37" ht="24" hidden="0" customHeight="1">
      <x:c r="A37" s="3" t="str">
        <x:v>Emil Kowalski purposeful animation</x:v>
      </x:c>
      <x:c r="B37" s="3" t="str">
        <x:v>sme_blog</x:v>
      </x:c>
      <x:c r="C37" s="3" t="str">
        <x:v>https://emilkowal.ski/ui/you-dont-need-animations</x:v>
      </x:c>
      <x:c r="D37" s="3" t="str">
        <x:v>Designer contrasts explanatory Linear AI animation with high-frequency interactions such as Raycast.</x:v>
      </x:c>
      <x:c r="E37" s="3" t="str">
        <x:v>https://emilkowal.ski/ui/you-dont-need-animations</x:v>
      </x:c>
      <x:c r="F37" s="3" t="str">
        <x:v>add_reference_guidance</x:v>
      </x:c>
      <x:c r="G37" s="3" t="str">
        <x:v>Useful guide rule: animate to explain or provide feedback; frequent interactions may warrant immediate response. Article/course is a reference, not automatically an OSS code source.</x:v>
      </x:c>
      <x:c r="H37" s="3" t="str">
        <x:v>reference_or_not_shortlisted</x:v>
      </x:c>
      <x:c r="I37" s="3" t="str"/>
    </x:row>
    <x:row r="38" ht="24" hidden="0" customHeight="1">
      <x:c r="A38" s="3" t="str">
        <x:v>Josh Comeau native scroll-driven animation</x:v>
      </x:c>
      <x:c r="B38" s="3" t="str">
        <x:v>sme_blog</x:v>
      </x:c>
      <x:c r="C38" s="3" t="str">
        <x:v>https://www.joshwcomeau.com/animation/scroll-driven-animations/</x:v>
      </x:c>
      <x:c r="D38" s="3" t="str">
        <x:v>Article published28Apr2026 and updated19Jun2026 explores native animation-timeline with interactive examples.</x:v>
      </x:c>
      <x:c r="E38" s="3" t="str">
        <x:v>https://developer.mozilla.org/en-US/docs/Web/CSS/animation-timeline</x:v>
      </x:c>
      <x:c r="F38" s="3" t="str">
        <x:v>add_platform_reference</x:v>
      </x:c>
      <x:c r="G38" s="3" t="str">
        <x:v>Challenges unnecessary Lenis/JS dependency for simple scroll-linked effects. Reference requires browser-support verification and reduced-motion fallback; it is not another repo resource.</x:v>
      </x:c>
      <x:c r="H38" s="3" t="str">
        <x:v>reference_or_not_shortlisted</x:v>
      </x:c>
      <x:c r="I38" s="3" t="str"/>
    </x:row>
    <x:row r="39" ht="24" hidden="0" customHeight="1">
      <x:c r="A39" s="3" t="str">
        <x:v>Interruptible menus, easing and timing comparisons.</x:v>
      </x:c>
      <x:c r="B39" s="3" t="str">
        <x:v>expert_or_primary_guidance</x:v>
      </x:c>
      <x:c r="C39" s="3" t="str">
        <x:v>https://emilkowal.ski/ui/good-vs-great-animations</x:v>
      </x:c>
      <x:c r="D39" s="3" t="str">
        <x:v>Search-engine discovery and primary page review for selection/benchmark guidance.</x:v>
      </x:c>
      <x:c r="E39" s="3" t="str">
        <x:v>https://emilkowal.ski/ui/good-vs-great-animations</x:v>
      </x:c>
      <x:c r="F39" s="3" t="str">
        <x:v>add_guidance_existing_resource</x:v>
      </x:c>
      <x:c r="G39" s="3" t="str">
        <x:v>Use purposeful motion and preserve perceived response speed.</x:v>
      </x:c>
      <x:c r="H39" s="3" t="str">
        <x:v>reference_or_not_shortlisted</x:v>
      </x:c>
      <x:c r="I39" s="3" t="str"/>
    </x:row>
    <x:row r="40" ht="24" hidden="0" customHeight="1">
      <x:c r="A40" s="3" t="str">
        <x:v>Interactive reduced-motion toggle and SSR-safe preference handling.</x:v>
      </x:c>
      <x:c r="B40" s="3" t="str">
        <x:v>expert_or_primary_guidance</x:v>
      </x:c>
      <x:c r="C40" s="3" t="str">
        <x:v>https://www.joshwcomeau.com/react/prefers-reduced-motion/</x:v>
      </x:c>
      <x:c r="D40" s="3" t="str">
        <x:v>Search-engine discovery and primary page review for selection/benchmark guidance.</x:v>
      </x:c>
      <x:c r="E40" s="3" t="str">
        <x:v>https://www.joshwcomeau.com/react/prefers-reduced-motion/</x:v>
      </x:c>
      <x:c r="F40" s="3" t="str">
        <x:v>add_guidance_existing_resource</x:v>
      </x:c>
      <x:c r="G40" s="3" t="str">
        <x:v>Plan an intentional low-motion experience; do not merely accelerate all animations.</x:v>
      </x:c>
      <x:c r="H40" s="3" t="str">
        <x:v>reference_or_not_shortlisted</x:v>
      </x:c>
      <x:c r="I40" s="3" t="str"/>
    </x:row>
    <x:row r="41" ht="24" hidden="0" customHeight="1">
      <x:c r="A41" s="3" t="str">
        <x:v>Direct-manipulation and small interaction studies.</x:v>
      </x:c>
      <x:c r="B41" s="3" t="str">
        <x:v>expert_or_primary_guidance</x:v>
      </x:c>
      <x:c r="C41" s="3" t="str">
        <x:v>https://rauno.me/craft</x:v>
      </x:c>
      <x:c r="D41" s="3" t="str">
        <x:v>Search-engine discovery and primary page review for selection/benchmark guidance.</x:v>
      </x:c>
      <x:c r="E41" s="3" t="str">
        <x:v>https://rauno.me/craft</x:v>
      </x:c>
      <x:c r="F41" s="3" t="str">
        <x:v>add_guidance_existing_resource</x:v>
      </x:c>
      <x:c r="G41" s="3" t="str">
        <x:v>Study continuity and feedback; references are not blanket code-reuse permission.</x:v>
      </x:c>
      <x:c r="H41" s="3" t="str">
        <x:v>reference_or_not_shortlisted</x:v>
      </x:c>
      <x:c r="I41" s="3" t="str"/>
    </x:row>
    <x:row r="42" ht="24" hidden="0" customHeight="1">
      <x:c r="A42" s="3" t="str">
        <x:v>Break down input delay, processing time and presentation delay.</x:v>
      </x:c>
      <x:c r="B42" s="3" t="str">
        <x:v>expert_or_primary_guidance</x:v>
      </x:c>
      <x:c r="C42" s="3" t="str">
        <x:v>https://web.dev/articles/optimize-inp</x:v>
      </x:c>
      <x:c r="D42" s="3" t="str">
        <x:v>Search-engine discovery and primary page review for selection/benchmark guidance.</x:v>
      </x:c>
      <x:c r="E42" s="3" t="str">
        <x:v>https://web.dev/articles/optimize-inp</x:v>
      </x:c>
      <x:c r="F42" s="3" t="str">
        <x:v>add_guidance_existing_resource</x:v>
      </x:c>
      <x:c r="G42" s="3" t="str">
        <x:v>Measure actual interaction latency; renderer architecture is not a performance result.</x:v>
      </x:c>
      <x:c r="H42" s="3" t="str">
        <x:v>reference_or_not_shortlisted</x:v>
      </x:c>
      <x:c r="I42" s="3" t="str"/>
    </x:row>
  </x:sheetData>
  <x:pageMargins left="0.7" right="0.7" top="0.75" bottom="0.75" header="0.3" footer="0.3"/>
  <x:tableParts count="1">
    <x:tablePart xmlns:r="http://schemas.openxmlformats.org/officeDocument/2006/relationships" r:id="R5b7c3c0a8d914040"/>
  </x:tableParts>
</x:worksheet>
</file>

<file path=xl/worksheets/sheet1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35" hidden="0" customWidth="1"/>
    <x:col min="3" max="3" width="67" hidden="0" customWidth="1"/>
    <x:col min="4" max="4" width="95" hidden="0" customWidth="1"/>
    <x:col min="5" max="5" width="95" hidden="0" customWidth="1"/>
    <x:col min="6" max="6" width="65" hidden="0" customWidth="1"/>
  </x:cols>
  <x:sheetData>
    <x:row r="1" ht="38" hidden="0" customHeight="1">
      <x:c r="A1" s="20" t="str">
        <x:v>Resource ID</x:v>
      </x:c>
      <x:c r="B1" s="20" t="str">
        <x:v>Resource</x:v>
      </x:c>
      <x:c r="C1" s="20" t="str">
        <x:v>Example URL</x:v>
      </x:c>
      <x:c r="D1" s="20" t="str">
        <x:v>Specific moment</x:v>
      </x:c>
      <x:c r="E1" s="20" t="str">
        <x:v>Why it matters</x:v>
      </x:c>
      <x:c r="F1" s="20" t="str">
        <x:v>Verification</x:v>
      </x:c>
    </x:row>
    <x:row r="2" ht="15" hidden="0" customHeight="1">
      <x:c r="A2" s="3" t="str">
        <x:v>model-viewer</x:v>
      </x:c>
      <x:c r="B2" s="3" t="str">
        <x:v>&lt;model-viewer&gt;</x:v>
      </x:c>
      <x:c r="C2" s="3" t="str">
        <x:v>https://modelviewer.dev/examples/scenegraph/</x:v>
      </x:c>
      <x:c r="D2" s="3" t="str">
        <x:v>Official material/variant scene documentation reviewed; demo model did not finish loading in this browser session, so visual score is provisional.</x:v>
      </x:c>
      <x:c r="E2" s="3" t="str">
        <x:v>Official primary example. Read the verification scope; this is not a completed performance or accessibility test.</x:v>
      </x:c>
      <x:c r="F2" s="3" t="str">
        <x:v>Primary reference checked; live viewing only when explicitly stated.</x:v>
      </x:c>
    </x:row>
    <x:row r="3" ht="15" hidden="0" customHeight="1">
      <x:c r="A3" s="3" t="str">
        <x:v>ai_sdk</x:v>
      </x:c>
      <x:c r="B3" s="3" t="str">
        <x:v>AI SDK (Core + UI)</x:v>
      </x:c>
      <x:c r="C3" s="3" t="str">
        <x:v>https://ui.shadcn.com/docs/ai-elements/base/chat</x:v>
      </x:c>
      <x:c r="D3" s="3" t="str">
        <x:v>Headless SDK; 4/5 rates attainable output in the official shadcn/ui integration, not an intrinsic SDK skin.</x:v>
      </x:c>
      <x:c r="E3" s="3" t="str">
        <x:v>Official primary example. Read the verification scope; this is not a completed performance or accessibility test.</x:v>
      </x:c>
      <x:c r="F3" s="3" t="str">
        <x:v>Primary reference checked; live viewing only when explicitly stated.</x:v>
      </x:c>
    </x:row>
    <x:row r="4" ht="15" hidden="0" customHeight="1">
      <x:c r="A4" s="3" t="str">
        <x:v>echarts</x:v>
      </x:c>
      <x:c r="B4" s="3" t="str">
        <x:v>Apache ECharts</x:v>
      </x:c>
      <x:c r="C4" s="3" t="str">
        <x:v>https://echarts.apache.org/examples/en/index.html</x:v>
      </x:c>
      <x:c r="D4" s="3" t="str">
        <x:v>Editorial potential from official example collection; existing handbook choice retained, not rescored by benchmark.</x:v>
      </x:c>
      <x:c r="E4" s="3" t="str">
        <x:v>Official primary example. Read the verification scope; this is not a completed performance or accessibility test.</x:v>
      </x:c>
      <x:c r="F4" s="3" t="str">
        <x:v>Primary reference checked; live viewing only when explicitly stated.</x:v>
      </x:c>
    </x:row>
    <x:row r="5" ht="24" hidden="0" customHeight="1">
      <x:c r="A5" s="3" t="str">
        <x:v>assistant_ui</x:v>
      </x:c>
      <x:c r="B5" s="3" t="str">
        <x:v>assistant-ui</x:v>
      </x:c>
      <x:c r="C5" s="3" t="str">
        <x:v>https://www.assistant-ui.com/elements/thread</x:v>
      </x:c>
      <x:c r="D5" s="3" t="str">
        <x:v>Rendered official Thread demo inspected: restrained typography, rounded composer, unobtrusive message actions. 4/5 is presentation quality, not measured smoothness.</x:v>
      </x:c>
      <x:c r="E5" s="3" t="str">
        <x:v>Official primary example. Read the verification scope; this is not a completed performance or accessibility test.</x:v>
      </x:c>
      <x:c r="F5" s="3" t="str">
        <x:v>Primary reference checked; live viewing only when explicitly stated.</x:v>
      </x:c>
    </x:row>
    <x:row r="6" ht="15" hidden="0" customHeight="1">
      <x:c r="A6" s="3" t="str">
        <x:v>base_ui</x:v>
      </x:c>
      <x:c r="B6" s="3" t="str">
        <x:v>Base UI</x:v>
      </x:c>
      <x:c r="C6" s="3" t="str">
        <x:v>https://base-ui.com/react/components/dialog</x:v>
      </x:c>
      <x:c r="D6" s="3" t="str">
        <x:v>Editorial: restrained dialog demos and nested/close-confirmation examples; visual styling is supplied by the adopter.</x:v>
      </x:c>
      <x:c r="E6" s="3" t="str">
        <x:v>Official primary example. Read the verification scope; this is not a completed performance or accessibility test.</x:v>
      </x:c>
      <x:c r="F6" s="3" t="str">
        <x:v>Primary reference checked; live viewing only when explicitly stated.</x:v>
      </x:c>
    </x:row>
    <x:row r="7" ht="15" hidden="0" customHeight="1">
      <x:c r="A7" s="3" t="str">
        <x:v>deck-gl</x:v>
      </x:c>
      <x:c r="B7" s="3" t="str">
        <x:v>deck.gl</x:v>
      </x:c>
      <x:c r="C7" s="3" t="str">
        <x:v>https://deck.gl/</x:v>
      </x:c>
      <x:c r="D7" s="3" t="str">
        <x:v>Official map/layer showcase; editorial potential. Release 9.4 explicitly documents full official layer catalog WebGPU parity.</x:v>
      </x:c>
      <x:c r="E7" s="3" t="str">
        <x:v>Official primary example. Read the verification scope; this is not a completed performance or accessibility test.</x:v>
      </x:c>
      <x:c r="F7" s="3" t="str">
        <x:v>Primary reference checked; live viewing only when explicitly stated.</x:v>
      </x:c>
    </x:row>
    <x:row r="8" ht="15" hidden="0" customHeight="1">
      <x:c r="A8" s="3" t="str">
        <x:v>excalidraw</x:v>
      </x:c>
      <x:c r="B8" s="3" t="str">
        <x:v>Excalidraw</x:v>
      </x:c>
      <x:c r="C8" s="3" t="str">
        <x:v>https://excalidraw.com/</x:v>
      </x:c>
      <x:c r="D8" s="3" t="str">
        <x:v>Live browser review 2026-10-17: floating tool strip, bottom zoom/history controls and clear first-use canvas; hand-drawn style is intentional.</x:v>
      </x:c>
      <x:c r="E8" s="3" t="str">
        <x:v>Official primary example. Read the verification scope; this is not a completed performance or accessibility test.</x:v>
      </x:c>
      <x:c r="F8" s="3" t="str">
        <x:v>Primary reference checked; live viewing only when explicitly stated.</x:v>
      </x:c>
    </x:row>
    <x:row r="9" ht="15" hidden="0" customHeight="1">
      <x:c r="A9" s="3" t="str">
        <x:v>fontsource</x:v>
      </x:c>
      <x:c r="B9" s="3" t="str">
        <x:v>Fontsource</x:v>
      </x:c>
      <x:c r="C9" s="3" t="str">
        <x:v>https://fontsource.org/fonts/inter</x:v>
      </x:c>
      <x:c r="D9" s="3" t="str">
        <x:v>Editorial: Inter variable-font specimen; quality depends on the selected typeface and scale.</x:v>
      </x:c>
      <x:c r="E9" s="3" t="str">
        <x:v>Official primary example. Read the verification scope; this is not a completed performance or accessibility test.</x:v>
      </x:c>
      <x:c r="F9" s="3" t="str">
        <x:v>Primary reference checked; live viewing only when explicitly stated.</x:v>
      </x:c>
    </x:row>
    <x:row r="10" ht="15" hidden="0" customHeight="1">
      <x:c r="A10" s="3" t="str">
        <x:v>lexical</x:v>
      </x:c>
      <x:c r="B10" s="3" t="str">
        <x:v>Lexical</x:v>
      </x:c>
      <x:c r="C10" s="3" t="str">
        <x:v>https://lexical.dev/</x:v>
      </x:c>
      <x:c r="D10" s="3" t="str">
        <x:v>Live browser visual review 2026-10-17: clean toolbar/editor; official page also demonstrates compact chat and block-editor patterns.</x:v>
      </x:c>
      <x:c r="E10" s="3" t="str">
        <x:v>Official primary example. Read the verification scope; this is not a completed performance or accessibility test.</x:v>
      </x:c>
      <x:c r="F10" s="3" t="str">
        <x:v>Primary reference checked; live viewing only when explicitly stated.</x:v>
      </x:c>
    </x:row>
    <x:row r="11" ht="15" hidden="0" customHeight="1">
      <x:c r="A11" s="3" t="str">
        <x:v>lightweight-charts</x:v>
      </x:c>
      <x:c r="B11" s="3" t="str">
        <x:v>Lightweight Charts</x:v>
      </x:c>
      <x:c r="C11" s="3" t="str">
        <x:v>https://tradingview.github.io/lightweight-charts/tutorials/demos/realtime-updates</x:v>
      </x:c>
      <x:c r="D11" s="3" t="str">
        <x:v>Official real-time candlestick sample; editorial assessment, no measured latency test.</x:v>
      </x:c>
      <x:c r="E11" s="3" t="str">
        <x:v>Official primary example. Read the verification scope; this is not a completed performance or accessibility test.</x:v>
      </x:c>
      <x:c r="F11" s="3" t="str">
        <x:v>Primary reference checked; live viewing only when explicitly stated.</x:v>
      </x:c>
    </x:row>
    <x:row r="12" ht="15" hidden="0" customHeight="1">
      <x:c r="A12" s="3" t="str">
        <x:v>lucide</x:v>
      </x:c>
      <x:c r="B12" s="3" t="str">
        <x:v>Lucide</x:v>
      </x:c>
      <x:c r="C12" s="3" t="str">
        <x:v>https://lucide.dev/icons/</x:v>
      </x:c>
      <x:c r="D12" s="3" t="str">
        <x:v>Editorial: searchable icon gallery with consistent stroke rhythm and extensive desktop coverage.</x:v>
      </x:c>
      <x:c r="E12" s="3" t="str">
        <x:v>Official primary example. Read the verification scope; this is not a completed performance or accessibility test.</x:v>
      </x:c>
      <x:c r="F12" s="3" t="str">
        <x:v>Primary reference checked; live viewing only when explicitly stated.</x:v>
      </x:c>
    </x:row>
    <x:row r="13" ht="15" hidden="0" customHeight="1">
      <x:c r="A13" s="3" t="str">
        <x:v>maplibre-gl-js</x:v>
      </x:c>
      <x:c r="B13" s="3" t="str">
        <x:v>MapLibre GL JS</x:v>
      </x:c>
      <x:c r="C13" s="3" t="str">
        <x:v>https://maplibre.org/maplibre-gl-js/docs/examples/3d-terrain/</x:v>
      </x:c>
      <x:c r="D13" s="3" t="str">
        <x:v>Official terrain and real-time feature examples; editorial assessment, no live-map benchmark.</x:v>
      </x:c>
      <x:c r="E13" s="3" t="str">
        <x:v>Official primary example. Read the verification scope; this is not a completed performance or accessibility test.</x:v>
      </x:c>
      <x:c r="F13" s="3" t="str">
        <x:v>Primary reference checked; live viewing only when explicitly stated.</x:v>
      </x:c>
    </x:row>
    <x:row r="14" ht="15" hidden="0" customHeight="1">
      <x:c r="A14" s="3" t="str">
        <x:v>motion</x:v>
      </x:c>
      <x:c r="B14" s="3" t="str">
        <x:v>Motion</x:v>
      </x:c>
      <x:c r="C14" s="3" t="str">
        <x:v>https://motion.dev/docs/react-layout-animations</x:v>
      </x:c>
      <x:c r="D14" s="3" t="str">
        <x:v>Editorial: shared-layout transition examples show fluid continuity; premium Motion+ examples are excluded.</x:v>
      </x:c>
      <x:c r="E14" s="3" t="str">
        <x:v>Official primary example. Read the verification scope; this is not a completed performance or accessibility test.</x:v>
      </x:c>
      <x:c r="F14" s="3" t="str">
        <x:v>Primary reference checked; live viewing only when explicitly stated.</x:v>
      </x:c>
    </x:row>
    <x:row r="15" ht="15" hidden="0" customHeight="1">
      <x:c r="A15" s="3" t="str">
        <x:v>motion</x:v>
      </x:c>
      <x:c r="B15" s="3" t="str">
        <x:v>Motion</x:v>
      </x:c>
      <x:c r="C15" s="3" t="str">
        <x:v>https://emilkowal.ski/ui/you-dont-need-animations</x:v>
      </x:c>
      <x:c r="D15" s="3" t="str">
        <x:v>Compare purposeful press feedback/explanatory feature motion with immediate recurring-command response.</x:v>
      </x:c>
      <x:c r="E15" s="3" t="str">
        <x:v>A strong restraint criterion for dense desktop UI; use as editorial guidance.</x:v>
      </x:c>
      <x:c r="F15" s="3" t="str">
        <x:v>Primary reference checked; live viewing only when explicitly stated.</x:v>
      </x:c>
    </x:row>
    <x:row r="16" ht="15" hidden="0" customHeight="1">
      <x:c r="A16" s="3" t="str">
        <x:v>motion</x:v>
      </x:c>
      <x:c r="B16" s="3" t="str">
        <x:v>Motion</x:v>
      </x:c>
      <x:c r="C16" s="3" t="str">
        <x:v>https://www.joshwcomeau.com/animation/scroll-driven-animations/</x:v>
      </x:c>
      <x:c r="D16" s="3" t="str">
        <x:v>Interactive animation-timeline/range controls tie progress to scroll.</x:v>
      </x:c>
      <x:c r="E16" s="3" t="str">
        <x:v>Useful native alternative before adding a library; primary spec/browser docs must decide support.</x:v>
      </x:c>
      <x:c r="F16" s="3" t="str">
        <x:v>Primary reference checked; live viewing only when explicitly stated.</x:v>
      </x:c>
    </x:row>
    <x:row r="17" ht="15" hidden="0" customHeight="1">
      <x:c r="A17" s="3" t="str">
        <x:v>motion</x:v>
      </x:c>
      <x:c r="B17" s="3" t="str">
        <x:v>Motion</x:v>
      </x:c>
      <x:c r="C17" s="3" t="str">
        <x:v>https://emilkowal.ski/ui/good-vs-great-animations</x:v>
      </x:c>
      <x:c r="D17" s="3" t="str">
        <x:v>Interruptible menus, easing and timing comparisons.</x:v>
      </x:c>
      <x:c r="E17" s="3" t="str">
        <x:v>Use purposeful motion and preserve perceived response speed.</x:v>
      </x:c>
      <x:c r="F17" s="3" t="str">
        <x:v>Primary reference checked; live viewing only when explicitly stated.</x:v>
      </x:c>
    </x:row>
    <x:row r="18" ht="15" hidden="0" customHeight="1">
      <x:c r="A18" s="3" t="str">
        <x:v>motion</x:v>
      </x:c>
      <x:c r="B18" s="3" t="str">
        <x:v>Motion</x:v>
      </x:c>
      <x:c r="C18" s="3" t="str">
        <x:v>https://www.joshwcomeau.com/react/prefers-reduced-motion/</x:v>
      </x:c>
      <x:c r="D18" s="3" t="str">
        <x:v>Interactive reduced-motion toggle and SSR-safe preference handling.</x:v>
      </x:c>
      <x:c r="E18" s="3" t="str">
        <x:v>Plan an intentional low-motion experience; do not merely accelerate all animations.</x:v>
      </x:c>
      <x:c r="F18" s="3" t="str">
        <x:v>Primary reference checked; live viewing only when explicitly stated.</x:v>
      </x:c>
    </x:row>
    <x:row r="19" ht="15" hidden="0" customHeight="1">
      <x:c r="A19" s="3" t="str">
        <x:v>motion</x:v>
      </x:c>
      <x:c r="B19" s="3" t="str">
        <x:v>Motion</x:v>
      </x:c>
      <x:c r="C19" s="3" t="str">
        <x:v>https://rauno.me/craft</x:v>
      </x:c>
      <x:c r="D19" s="3" t="str">
        <x:v>Direct-manipulation and small interaction studies.</x:v>
      </x:c>
      <x:c r="E19" s="3" t="str">
        <x:v>Study continuity and feedback; references are not blanket code-reuse permission.</x:v>
      </x:c>
      <x:c r="F19" s="3" t="str">
        <x:v>Primary reference checked; live viewing only when explicitly stated.</x:v>
      </x:c>
    </x:row>
    <x:row r="20" ht="15" hidden="0" customHeight="1">
      <x:c r="A20" s="3" t="str">
        <x:v>react_aria</x:v>
      </x:c>
      <x:c r="B20" s="3" t="str">
        <x:v>React Aria Components</x:v>
      </x:c>
      <x:c r="C20" s="3" t="str">
        <x:v>https://react-aria.adobe.com/DateRangePicker</x:v>
      </x:c>
      <x:c r="D20" s="3" t="str">
        <x:v>Editorial: range-calendar interaction and locale-aware input example; bring a theme for branded output.</x:v>
      </x:c>
      <x:c r="E20" s="3" t="str">
        <x:v>Official primary example. Read the verification scope; this is not a completed performance or accessibility test.</x:v>
      </x:c>
      <x:c r="F20" s="3" t="str">
        <x:v>Primary reference checked; live viewing only when explicitly stated.</x:v>
      </x:c>
    </x:row>
    <x:row r="21" ht="15" hidden="0" customHeight="1">
      <x:c r="A21" s="3" t="str">
        <x:v>react-flow</x:v>
      </x:c>
      <x:c r="B21" s="3" t="str">
        <x:v>React Flow</x:v>
      </x:c>
      <x:c r="C21" s="3" t="str">
        <x:v>https://reactflow.dev/examples/interaction/connection-events</x:v>
      </x:c>
      <x:c r="D21" s="3" t="str">
        <x:v>Official themed node/connection examples and AI workflow templates; editorial potential, no new benchmark.</x:v>
      </x:c>
      <x:c r="E21" s="3" t="str">
        <x:v>Official primary example. Read the verification scope; this is not a completed performance or accessibility test.</x:v>
      </x:c>
      <x:c r="F21" s="3" t="str">
        <x:v>Primary reference checked; live viewing only when explicitly stated.</x:v>
      </x:c>
    </x:row>
    <x:row r="22" ht="15" hidden="0" customHeight="1">
      <x:c r="A22" s="3" t="str">
        <x:v>react_hook_form</x:v>
      </x:c>
      <x:c r="B22" s="3" t="str">
        <x:v>React Hook Form</x:v>
      </x:c>
      <x:c r="C22" s="3" t="str">
        <x:v>https://react-hook-form.com/advanced-usage</x:v>
      </x:c>
      <x:c r="D22" s="3" t="str">
        <x:v>Editorial: practical validation examples; form appearance comes from the UI kit.</x:v>
      </x:c>
      <x:c r="E22" s="3" t="str">
        <x:v>Official primary example. Read the verification scope; this is not a completed performance or accessibility test.</x:v>
      </x:c>
      <x:c r="F22" s="3" t="str">
        <x:v>Primary reference checked; live viewing only when explicitly stated.</x:v>
      </x:c>
    </x:row>
    <x:row r="23" ht="24" hidden="0" customHeight="1">
      <x:c r="A23" s="3" t="str">
        <x:v>react-three-fiber</x:v>
      </x:c>
      <x:c r="B23" s="3" t="str">
        <x:v>React Three Fiber</x:v>
      </x:c>
      <x:c r="C23" s="3" t="str">
        <x:v>https://r3f.docs.pmnd.rs/getting-started/examples</x:v>
      </x:c>
      <x:c r="D23" s="3" t="str">
        <x:v>Official showcase includes T-shirt/configurator, glass/transmission and lighting scenes; editorial potential, preserving handbook benchmark separately.</x:v>
      </x:c>
      <x:c r="E23" s="3" t="str">
        <x:v>Official primary example. Read the verification scope; this is not a completed performance or accessibility test.</x:v>
      </x:c>
      <x:c r="F23" s="3" t="str">
        <x:v>Primary reference checked; live viewing only when explicitly stated.</x:v>
      </x:c>
    </x:row>
    <x:row r="24" ht="24" hidden="0" customHeight="1">
      <x:c r="A24" s="3" t="str">
        <x:v>react-three-fiber</x:v>
      </x:c>
      <x:c r="B24" s="3" t="str">
        <x:v>React Three Fiber</x:v>
      </x:c>
      <x:c r="C24" s="3" t="str">
        <x:v>https://blog.maximeheckel.com/posts/shading-motion/</x:v>
      </x:c>
      <x:c r="D24" s="3" t="str">
        <x:v>Shading Motion (18 August2026): interactive frame differencing, decaying trails, velocity effects and motion blur using WebGPU compute shaders.</x:v>
      </x:c>
      <x:c r="E24" s="3" t="str">
        <x:v>Expert creative-engineering source with concrete interactive controls and React Three Fiber examples; an art-direction reference that strengthens an existing engine choice. Article code/asset reuse still requires rights review.</x:v>
      </x:c>
      <x:c r="F24" s="3" t="str">
        <x:v>Primary reference checked; live viewing only when explicitly stated.</x:v>
      </x:c>
    </x:row>
    <x:row r="25" ht="24" hidden="0" customHeight="1">
      <x:c r="A25" s="3" t="str">
        <x:v>react-three-fiber</x:v>
      </x:c>
      <x:c r="B25" s="3" t="str">
        <x:v>React Three Fiber</x:v>
      </x:c>
      <x:c r="C25" s="3" t="str">
        <x:v>https://blog.maximeheckel.com/posts/field-guide-to-tsl-and-webgpu/</x:v>
      </x:c>
      <x:c r="D25" s="3" t="str">
        <x:v>TSL/WebGPU field guide: interactive shader and compute examples for the newer Three.js rendering pipeline.</x:v>
      </x:c>
      <x:c r="E25" s="3" t="str">
        <x:v>Clarifies practical migration and capability tradeoffs; the October2025 article is inspiration/documentation, not a newly maintained standalone library.</x:v>
      </x:c>
      <x:c r="F25" s="3" t="str">
        <x:v>Primary reference checked; live viewing only when explicitly stated.</x:v>
      </x:c>
    </x:row>
    <x:row r="26" ht="15" hidden="0" customHeight="1">
      <x:c r="A26" s="3" t="str">
        <x:v>recharts</x:v>
      </x:c>
      <x:c r="B26" s="3" t="str">
        <x:v>Recharts</x:v>
      </x:c>
      <x:c r="C26" s="3" t="str">
        <x:v>https://recharts.github.io/en-US/examples/</x:v>
      </x:c>
      <x:c r="D26" s="3" t="str">
        <x:v>Editorial potential from official synchronized, gradient-area and custom-tooltip examples; existing default retained.</x:v>
      </x:c>
      <x:c r="E26" s="3" t="str">
        <x:v>Official primary example. Read the verification scope; this is not a completed performance or accessibility test.</x:v>
      </x:c>
      <x:c r="F26" s="3" t="str">
        <x:v>Primary reference checked; live viewing only when explicitly stated.</x:v>
      </x:c>
    </x:row>
    <x:row r="27" ht="15" hidden="0" customHeight="1">
      <x:c r="A27" s="3" t="str">
        <x:v>shadcn_ui</x:v>
      </x:c>
      <x:c r="B27" s="3" t="str">
        <x:v>shadcn/ui</x:v>
      </x:c>
      <x:c r="C27" s="3" t="str">
        <x:v>https://ui.shadcn.com/examples/dashboard</x:v>
      </x:c>
      <x:c r="D27" s="3" t="str">
        <x:v>Editorial: sidebar, KPI cards, date controls and document table form a cohesive desktop dashboard.</x:v>
      </x:c>
      <x:c r="E27" s="3" t="str">
        <x:v>Official primary example. Read the verification scope; this is not a completed performance or accessibility test.</x:v>
      </x:c>
      <x:c r="F27" s="3" t="str">
        <x:v>Primary reference checked; live viewing only when explicitly stated.</x:v>
      </x:c>
    </x:row>
    <x:row r="28" ht="15" hidden="0" customHeight="1">
      <x:c r="A28" s="3" t="str">
        <x:v>shadcn_ui</x:v>
      </x:c>
      <x:c r="B28" s="3" t="str">
        <x:v>shadcn/ui</x:v>
      </x:c>
      <x:c r="C28" s="3" t="str">
        <x:v>https://rauno.me/craft</x:v>
      </x:c>
      <x:c r="D28" s="3" t="str">
        <x:v>Toolbar Morph, Spatial Tooltip and DD System craft studies; recent June/Aug2026 entries coexist with older examples.</x:v>
      </x:c>
      <x:c r="E28" s="3" t="str">
        <x:v>SME reference for interaction continuity and tiny details. Do not treat reference chronology or screenshots as reusable code licensing.</x:v>
      </x:c>
      <x:c r="F28" s="3" t="str">
        <x:v>Primary reference checked; live viewing only when explicitly stated.</x:v>
      </x:c>
    </x:row>
    <x:row r="29" ht="15" hidden="0" customHeight="1">
      <x:c r="A29" s="3" t="str">
        <x:v>sigma-js</x:v>
      </x:c>
      <x:c r="B29" s="3" t="str">
        <x:v>Sigma.js + Graphology</x:v>
      </x:c>
      <x:c r="C29" s="3" t="str">
        <x:v>https://www.sigmajs.org/embed/homepage/demo/</x:v>
      </x:c>
      <x:c r="D29" s="3" t="str">
        <x:v>Live browser visual review 2026-10-17: ~9,000 AI-paper network, legend and search; dense overview needs focus/filtering to avoid a hairball.</x:v>
      </x:c>
      <x:c r="E29" s="3" t="str">
        <x:v>Official primary example. Read the verification scope; this is not a completed performance or accessibility test.</x:v>
      </x:c>
      <x:c r="F29" s="3" t="str">
        <x:v>Primary reference checked; live viewing only when explicitly stated.</x:v>
      </x:c>
    </x:row>
    <x:row r="30" ht="15" hidden="0" customHeight="1">
      <x:c r="A30" s="3" t="str">
        <x:v>sonner</x:v>
      </x:c>
      <x:c r="B30" s="3" t="str">
        <x:v>Sonner</x:v>
      </x:c>
      <x:c r="C30" s="3" t="str">
        <x:v>https://sonner.emilkowal.ski/</x:v>
      </x:c>
      <x:c r="D30" s="3" t="str">
        <x:v>Editorial: live promise, action and stacked-notification interactions show exceptional small-motion polish.</x:v>
      </x:c>
      <x:c r="E30" s="3" t="str">
        <x:v>Official primary example. Read the verification scope; this is not a completed performance or accessibility test.</x:v>
      </x:c>
      <x:c r="F30" s="3" t="str">
        <x:v>Primary reference checked; live viewing only when explicitly stated.</x:v>
      </x:c>
    </x:row>
    <x:row r="31" ht="15" hidden="0" customHeight="1">
      <x:c r="A31" s="3" t="str">
        <x:v>streamdown</x:v>
      </x:c>
      <x:c r="B31" s="3" t="str">
        <x:v>Streamdown</x:v>
      </x:c>
      <x:c r="C31" s="3" t="str">
        <x:v>https://streamdown.ai/playground</x:v>
      </x:c>
      <x:c r="D31" s="3" t="str">
        <x:v>Rendered official playground inspected: clear typography, consistent formatting and multilingual output; no live throughput measurement.</x:v>
      </x:c>
      <x:c r="E31" s="3" t="str">
        <x:v>Official primary example. Read the verification scope; this is not a completed performance or accessibility test.</x:v>
      </x:c>
      <x:c r="F31" s="3" t="str">
        <x:v>Primary reference checked; live viewing only when explicitly stated.</x:v>
      </x:c>
    </x:row>
    <x:row r="32" ht="15" hidden="0" customHeight="1">
      <x:c r="A32" s="3" t="str">
        <x:v>style_dictionary</x:v>
      </x:c>
      <x:c r="B32" s="3" t="str">
        <x:v>Style Dictionary</x:v>
      </x:c>
      <x:c r="C32" s="3" t="str">
        <x:v>https://www.style-dictionary-play.dev/</x:v>
      </x:c>
      <x:c r="D32" s="3" t="str">
        <x:v>Editorial: token playground is clear; this infrastructure has no intrinsic rendered UI.</x:v>
      </x:c>
      <x:c r="E32" s="3" t="str">
        <x:v>Official primary example. Read the verification scope; this is not a completed performance or accessibility test.</x:v>
      </x:c>
      <x:c r="F32" s="3" t="str">
        <x:v>Primary reference checked; live viewing only when explicitly stated.</x:v>
      </x:c>
    </x:row>
    <x:row r="33" ht="15" hidden="0" customHeight="1">
      <x:c r="A33" s="3" t="str">
        <x:v>tailwindcss</x:v>
      </x:c>
      <x:c r="B33" s="3" t="str">
        <x:v>Tailwind CSS</x:v>
      </x:c>
      <x:c r="C33" s="3" t="str">
        <x:v>https://tailwindcss.com/showcase</x:v>
      </x:c>
      <x:c r="D33" s="3" t="str">
        <x:v>Editorial: official showcase demonstrates premium layouts; framework itself is unstyled.</x:v>
      </x:c>
      <x:c r="E33" s="3" t="str">
        <x:v>Official primary example. Read the verification scope; this is not a completed performance or accessibility test.</x:v>
      </x:c>
      <x:c r="F33" s="3" t="str">
        <x:v>Primary reference checked; live viewing only when explicitly stated.</x:v>
      </x:c>
    </x:row>
    <x:row r="34" ht="15" hidden="0" customHeight="1">
      <x:c r="A34" s="3" t="str">
        <x:v>tanstack_query</x:v>
      </x:c>
      <x:c r="B34" s="3" t="str">
        <x:v>TanStack Query</x:v>
      </x:c>
      <x:c r="C34" s="3" t="str">
        <x:v>https://tanstack.com/query/latest/docs/framework/react/guides/optimistic-updates</x:v>
      </x:c>
      <x:c r="D34" s="3" t="str">
        <x:v>Editorial: optimistic-update examples; library manages state rather than appearance.</x:v>
      </x:c>
      <x:c r="E34" s="3" t="str">
        <x:v>Official primary example. Read the verification scope; this is not a completed performance or accessibility test.</x:v>
      </x:c>
      <x:c r="F34" s="3" t="str">
        <x:v>Primary reference checked; live viewing only when explicitly stated.</x:v>
      </x:c>
    </x:row>
    <x:row r="35" ht="15" hidden="0" customHeight="1">
      <x:c r="A35" s="3" t="str">
        <x:v>tanstack_table</x:v>
      </x:c>
      <x:c r="B35" s="3" t="str">
        <x:v>TanStack Table</x:v>
      </x:c>
      <x:c r="C35" s="3" t="str">
        <x:v>https://tanstack.com/table/latest/docs/framework/react/examples/virtualized-rows</x:v>
      </x:c>
      <x:c r="D35" s="3" t="str">
        <x:v>Editorial: composable virtualised rows demo; production visual polish comes from the surrounding UI kit.</x:v>
      </x:c>
      <x:c r="E35" s="3" t="str">
        <x:v>Official primary example. Read the verification scope; this is not a completed performance or accessibility test.</x:v>
      </x:c>
      <x:c r="F35" s="3" t="str">
        <x:v>Primary reference checked; live viewing only when explicitly stated.</x:v>
      </x:c>
    </x:row>
    <x:row r="36" ht="15" hidden="0" customHeight="1">
      <x:c r="A36" s="3" t="str">
        <x:v>tanstack_virtual</x:v>
      </x:c>
      <x:c r="B36" s="3" t="str">
        <x:v>TanStack Virtual</x:v>
      </x:c>
      <x:c r="C36" s="3" t="str">
        <x:v>https://tanstack.com/virtual/latest/docs/framework/react/examples/dynamic</x:v>
      </x:c>
      <x:c r="D36" s="3" t="str">
        <x:v>Editorial: functional dynamic-height list demo; a performance primitive rather than a visual kit.</x:v>
      </x:c>
      <x:c r="E36" s="3" t="str">
        <x:v>Official primary example. Read the verification scope; this is not a completed performance or accessibility test.</x:v>
      </x:c>
      <x:c r="F36" s="3" t="str">
        <x:v>Primary reference checked; live viewing only when explicitly stated.</x:v>
      </x:c>
    </x:row>
    <x:row r="37" ht="15" hidden="0" customHeight="1">
      <x:c r="A37" s="3" t="str">
        <x:v>tanstack_virtual</x:v>
      </x:c>
      <x:c r="B37" s="3" t="str">
        <x:v>TanStack Virtual</x:v>
      </x:c>
      <x:c r="C37" s="3" t="str">
        <x:v>https://web.dev/articles/optimize-inp</x:v>
      </x:c>
      <x:c r="D37" s="3" t="str">
        <x:v>Break down input delay, processing time and presentation delay.</x:v>
      </x:c>
      <x:c r="E37" s="3" t="str">
        <x:v>Measure actual interaction latency; renderer architecture is not a performance result.</x:v>
      </x:c>
      <x:c r="F37" s="3" t="str">
        <x:v>Primary reference checked; live viewing only when explicitly stated.</x:v>
      </x:c>
    </x:row>
    <x:row r="38" ht="15" hidden="0" customHeight="1">
      <x:c r="A38" s="3" t="str">
        <x:v>tiptap</x:v>
      </x:c>
      <x:c r="B38" s="3" t="str">
        <x:v>Tiptap OSS Editor</x:v>
      </x:c>
      <x:c r="C38" s="3" t="str">
        <x:v>https://tiptap.dev/docs/editor/getting-started/overview</x:v>
      </x:c>
      <x:c r="D38" s="3" t="str">
        <x:v>Official extension/editor documentation; editorial potential of the headless core, not a claim all promoted commercial UI is OSS.</x:v>
      </x:c>
      <x:c r="E38" s="3" t="str">
        <x:v>Official primary example. Read the verification scope; this is not a completed performance or accessibility test.</x:v>
      </x:c>
      <x:c r="F38" s="3" t="str">
        <x:v>Primary reference checked; live viewing only when explicitly stated.</x:v>
      </x:c>
    </x:row>
    <x:row r="39" ht="15" hidden="0" customHeight="1">
      <x:c r="A39" s="3" t="str">
        <x:v>yjs</x:v>
      </x:c>
      <x:c r="B39" s="3" t="str">
        <x:v>Yjs</x:v>
      </x:c>
      <x:c r="C39" s="3" t="str">
        <x:v>https://docs.yjs.dev/ecosystem/editor-bindings/tiptap2</x:v>
      </x:c>
      <x:c r="D39" s="3" t="str">
        <x:v>No standalone visual skin: score reflects enabled presence/cursor experience in documented bindings; editorial, no sync-load benchmark.</x:v>
      </x:c>
      <x:c r="E39" s="3" t="str">
        <x:v>Official primary example. Read the verification scope; this is not a completed performance or accessibility test.</x:v>
      </x:c>
      <x:c r="F39" s="3" t="str">
        <x:v>Primary reference checked; live viewing only when explicitly stated.</x:v>
      </x:c>
    </x:row>
    <x:row r="40" ht="15" hidden="0" customHeight="1">
      <x:c r="A40" s="3" t="str">
        <x:v>ag_grid_community</x:v>
      </x:c>
      <x:c r="B40" s="3" t="str">
        <x:v>AG Grid Community</x:v>
      </x:c>
      <x:c r="C40" s="3" t="str">
        <x:v>https://www.ag-grid.com/react-data-grid/getting-started/</x:v>
      </x:c>
      <x:c r="D40" s="3" t="str">
        <x:v>Editorial: clean themed starter grid; official flagship demos may include Enterprise features.</x:v>
      </x:c>
      <x:c r="E40" s="3" t="str">
        <x:v>Official primary example. Read the verification scope; this is not a completed performance or accessibility test.</x:v>
      </x:c>
      <x:c r="F40" s="3" t="str">
        <x:v>Primary reference checked; live viewing only when explicitly stated.</x:v>
      </x:c>
    </x:row>
    <x:row r="41" ht="24" hidden="0" customHeight="1">
      <x:c r="A41" s="3" t="str">
        <x:v>animejs</x:v>
      </x:c>
      <x:c r="B41" s="3" t="str">
        <x:v>Anime.js</x:v>
      </x:c>
      <x:c r="C41" s="3" t="str">
        <x:v>https://animejs.com/</x:v>
      </x:c>
      <x:c r="D41" s="3" t="str">
        <x:v>Rendered official home hero inspected: layered luminous circular motion composition and strong type hierarchy; runtime smoothness unmeasured.</x:v>
      </x:c>
      <x:c r="E41" s="3" t="str">
        <x:v>Official primary example. Read the verification scope; this is not a completed performance or accessibility test.</x:v>
      </x:c>
      <x:c r="F41" s="3" t="str">
        <x:v>Primary reference checked; live viewing only when explicitly stated.</x:v>
      </x:c>
    </x:row>
    <x:row r="42" ht="24" hidden="0" customHeight="1">
      <x:c r="A42" s="3" t="str">
        <x:v>automerge</x:v>
      </x:c>
      <x:c r="B42" s="3" t="str">
        <x:v>Automerge</x:v>
      </x:c>
      <x:c r="C42" s="3" t="str">
        <x:v>https://automerge.org/</x:v>
      </x:c>
      <x:c r="D42" s="3" t="str">
        <x:v>Headless synchronization infrastructure: 3/5 denotes the official multiplayer task-list demonstration, not an intrinsic visual skin. No visual polish or FPS guarantee for a whiteboard.</x:v>
      </x:c>
      <x:c r="E42" s="3" t="str">
        <x:v>Official primary example. Read the verification scope; this is not a completed performance or accessibility test.</x:v>
      </x:c>
      <x:c r="F42" s="3" t="str">
        <x:v>Primary reference checked; live viewing only when explicitly stated.</x:v>
      </x:c>
    </x:row>
    <x:row r="43" ht="15" hidden="0" customHeight="1">
      <x:c r="A43" s="3" t="str">
        <x:v>copilotkit</x:v>
      </x:c>
      <x:c r="B43" s="3" t="str">
        <x:v>CopilotKit (MIT SDKs and TypeScript runtime)</x:v>
      </x:c>
      <x:c r="C43" s="3" t="str">
        <x:v>https://docs.copilotkit.ai/prebuilt-components</x:v>
      </x:c>
      <x:c r="D43" s="3" t="str">
        <x:v>Official SDK documentation and prebuilt chat patterns; source-restricted Showcase is excluded from implementation sources.</x:v>
      </x:c>
      <x:c r="E43" s="3" t="str">
        <x:v>Official primary example. Read the verification scope; this is not a completed performance or accessibility test.</x:v>
      </x:c>
      <x:c r="F43" s="3" t="str">
        <x:v>Primary reference checked; live viewing only when explicitly stated.</x:v>
      </x:c>
    </x:row>
    <x:row r="44" ht="15" hidden="0" customHeight="1">
      <x:c r="A44" s="3" t="str">
        <x:v>dockview</x:v>
      </x:c>
      <x:c r="B44" s="3" t="str">
        <x:v>Dockview (MIT core)</x:v>
      </x:c>
      <x:c r="C44" s="3" t="str">
        <x:v>https://dockview.dev/demo/</x:v>
      </x:c>
      <x:c r="D44" s="3" t="str">
        <x:v>Editorial: IDE-like docking demo is directly applicable to multi-panel desktop tools.</x:v>
      </x:c>
      <x:c r="E44" s="3" t="str">
        <x:v>Official primary example. Read the verification scope; this is not a completed performance or accessibility test.</x:v>
      </x:c>
      <x:c r="F44" s="3" t="str">
        <x:v>Primary reference checked; live viewing only when explicitly stated.</x:v>
      </x:c>
    </x:row>
    <x:row r="45" ht="15" hidden="0" customHeight="1">
      <x:c r="A45" s="3" t="str">
        <x:v>driver_js</x:v>
      </x:c>
      <x:c r="B45" s="3" t="str">
        <x:v>Driver.js</x:v>
      </x:c>
      <x:c r="C45" s="3" t="str">
        <x:v>https://driverjs.com/</x:v>
      </x:c>
      <x:c r="D45" s="3" t="str">
        <x:v>Editorial: guided highlight/tour demo gives a clear, restrained first-run pattern.</x:v>
      </x:c>
      <x:c r="E45" s="3" t="str">
        <x:v>Official primary example. Read the verification scope; this is not a completed performance or accessibility test.</x:v>
      </x:c>
      <x:c r="F45" s="3" t="str">
        <x:v>Primary reference checked; live viewing only when explicitly stated.</x:v>
      </x:c>
    </x:row>
    <x:row r="46" ht="15" hidden="0" customHeight="1">
      <x:c r="A46" s="3" t="str">
        <x:v>fullcalendar</x:v>
      </x:c>
      <x:c r="B46" s="3" t="str">
        <x:v>FullCalendar Standard</x:v>
      </x:c>
      <x:c r="C46" s="3" t="str">
        <x:v>https://fullcalendar.io/demos</x:v>
      </x:c>
      <x:c r="D46" s="3" t="str">
        <x:v>Official standard calendar demos; editorial fit after application token theming, not a runtime stress test.</x:v>
      </x:c>
      <x:c r="E46" s="3" t="str">
        <x:v>Official primary example. Read the verification scope; this is not a completed performance or accessibility test.</x:v>
      </x:c>
      <x:c r="F46" s="3" t="str">
        <x:v>Primary reference checked; live viewing only when explicitly stated.</x:v>
      </x:c>
    </x:row>
    <x:row r="47" ht="15" hidden="0" customHeight="1">
      <x:c r="A47" s="3" t="str">
        <x:v>kepler-gl</x:v>
      </x:c>
      <x:c r="B47" s="3" t="str">
        <x:v>kepler.gl</x:v>
      </x:c>
      <x:c r="C47" s="3" t="str">
        <x:v>https://kepler.gl/demo</x:v>
      </x:c>
      <x:c r="D47" s="3" t="str">
        <x:v>Official exploration application; editorial assessment, no imported large-dataset benchmark.</x:v>
      </x:c>
      <x:c r="E47" s="3" t="str">
        <x:v>Official primary example. Read the verification scope; this is not a completed performance or accessibility test.</x:v>
      </x:c>
      <x:c r="F47" s="3" t="str">
        <x:v>Primary reference checked; live viewing only when explicitly stated.</x:v>
      </x:c>
    </x:row>
    <x:row r="48" ht="15" hidden="0" customHeight="1">
      <x:c r="A48" s="3" t="str">
        <x:v>konva</x:v>
      </x:c>
      <x:c r="B48" s="3" t="str">
        <x:v>Konva</x:v>
      </x:c>
      <x:c r="C48" s="3" t="str">
        <x:v>https://konvajs.org/docs/sandbox/Canvas_Editor.html</x:v>
      </x:c>
      <x:c r="D48" s="3" t="str">
        <x:v>Official design-editor example: selection handles, transform controls and content canvas; editorial potential, no frame-time benchmark.</x:v>
      </x:c>
      <x:c r="E48" s="3" t="str">
        <x:v>Official primary example. Read the verification scope; this is not a completed performance or accessibility test.</x:v>
      </x:c>
      <x:c r="F48" s="3" t="str">
        <x:v>Primary reference checked; live viewing only when explicitly stated.</x:v>
      </x:c>
    </x:row>
    <x:row r="49" ht="24" hidden="0" customHeight="1">
      <x:c r="A49" s="3" t="str">
        <x:v>lenis</x:v>
      </x:c>
      <x:c r="B49" s="3" t="str">
        <x:v>Lenis</x:v>
      </x:c>
      <x:c r="C49" s="3" t="str">
        <x:v>https://lenis.dev/</x:v>
      </x:c>
      <x:c r="D49" s="3" t="str">
        <x:v>Rendered official home inspected after loading: large expressive pink typography, black canvas, clear scroll prompt and compact navigation. Editorial4/5, with no desktop-app usability or FPS test.</x:v>
      </x:c>
      <x:c r="E49" s="3" t="str">
        <x:v>Official primary example. Read the verification scope; this is not a completed performance or accessibility test.</x:v>
      </x:c>
      <x:c r="F49" s="3" t="str">
        <x:v>Primary reference checked; live viewing only when explicitly stated.</x:v>
      </x:c>
    </x:row>
    <x:row r="50" ht="24" hidden="0" customHeight="1">
      <x:c r="A50" s="3" t="str">
        <x:v>lenis</x:v>
      </x:c>
      <x:c r="B50" s="3" t="str">
        <x:v>Lenis</x:v>
      </x:c>
      <x:c r="C50" s="3" t="str">
        <x:v>https://tympanus.net/codrops/2026/06/23/podium-building-a-website-where-running-becomes-storytelling/</x:v>
      </x:c>
      <x:c r="D50" s="3" t="str">
        <x:v>Project thumbnail expands into the next page's media hero; scroll pace follows film storytelling.</x:v>
      </x:c>
      <x:c r="E50" s="3" t="str">
        <x:v>A media-led transition has an understandable purpose; evaluate accessibility and performance separately.</x:v>
      </x:c>
      <x:c r="F50" s="3" t="str">
        <x:v>Primary reference checked; live viewing only when explicitly stated.</x:v>
      </x:c>
    </x:row>
    <x:row r="51" ht="24" hidden="0" customHeight="1">
      <x:c r="A51" s="3" t="str">
        <x:v>magic_ui</x:v>
      </x:c>
      <x:c r="B51" s="3" t="str">
        <x:v>Magic UI (free components)</x:v>
      </x:c>
      <x:c r="C51" s="3" t="str">
        <x:v>https://magicui.design/docs/components/bento-grid</x:v>
      </x:c>
      <x:c r="D51" s="3" t="str">
        <x:v>Rendered official Bento Grid inspected: disciplined spacing, soft elevation and layered preview cards; root also inspected live home. Free component rating only.</x:v>
      </x:c>
      <x:c r="E51" s="3" t="str">
        <x:v>Official primary example. Read the verification scope; this is not a completed performance or accessibility test.</x:v>
      </x:c>
      <x:c r="F51" s="3" t="str">
        <x:v>Primary reference checked; live viewing only when explicitly stated.</x:v>
      </x:c>
    </x:row>
    <x:row r="52" ht="15" hidden="0" customHeight="1">
      <x:c r="A52" s="3" t="str">
        <x:v>mantine</x:v>
      </x:c>
      <x:c r="B52" s="3" t="str">
        <x:v>Mantine</x:v>
      </x:c>
      <x:c r="C52" s="3" t="str">
        <x:v>https://mantine.dev/core/app-shell/</x:v>
      </x:c>
      <x:c r="D52" s="3" t="str">
        <x:v>Editorial: configurable desktop shell plus cohesive control styles; less distinctive until themed.</x:v>
      </x:c>
      <x:c r="E52" s="3" t="str">
        <x:v>Official primary example. Read the verification scope; this is not a completed performance or accessibility test.</x:v>
      </x:c>
      <x:c r="F52" s="3" t="str">
        <x:v>Primary reference checked; live viewing only when explicitly stated.</x:v>
      </x:c>
    </x:row>
    <x:row r="53" ht="24" hidden="0" customHeight="1">
      <x:c r="A53" s="3" t="str">
        <x:v>monaco_editor</x:v>
      </x:c>
      <x:c r="B53" s="3" t="str">
        <x:v>Monaco Editor</x:v>
      </x:c>
      <x:c r="C53" s="3" t="str">
        <x:v>https://microsoft.github.io/monaco-editor/</x:v>
      </x:c>
      <x:c r="D53" s="3" t="str">
        <x:v>Rendered official side-by-side Diff Editor inspected, including Revert Block actions. Functional rather than visually striking; needs app typography/theme. Demo labels v0.55.1, repo current0.57.0.</x:v>
      </x:c>
      <x:c r="E53" s="3" t="str">
        <x:v>Official primary example. Read the verification scope; this is not a completed performance or accessibility test.</x:v>
      </x:c>
      <x:c r="F53" s="3" t="str">
        <x:v>Primary reference checked; live viewing only when explicitly stated.</x:v>
      </x:c>
    </x:row>
    <x:row r="54" ht="15" hidden="0" customHeight="1">
      <x:c r="A54" s="3" t="str">
        <x:v>numberflow</x:v>
      </x:c>
      <x:c r="B54" s="3" t="str">
        <x:v>NumberFlow</x:v>
      </x:c>
      <x:c r="C54" s="3" t="str">
        <x:v>https://number-flow.barvian.me/</x:v>
      </x:c>
      <x:c r="D54" s="3" t="str">
        <x:v>Editorial: shuffleable currency/number specimen shows smooth width and digit transitions.</x:v>
      </x:c>
      <x:c r="E54" s="3" t="str">
        <x:v>Official primary example. Read the verification scope; this is not a completed performance or accessibility test.</x:v>
      </x:c>
      <x:c r="F54" s="3" t="str">
        <x:v>Primary reference checked; live viewing only when explicitly stated.</x:v>
      </x:c>
    </x:row>
    <x:row r="55" ht="15" hidden="0" customHeight="1">
      <x:c r="A55" s="3" t="str">
        <x:v>open_props</x:v>
      </x:c>
      <x:c r="B55" s="3" t="str">
        <x:v>Open Props</x:v>
      </x:c>
      <x:c r="C55" s="3" t="str">
        <x:v>https://open-props.style/#shadows</x:v>
      </x:c>
      <x:c r="D55" s="3" t="str">
        <x:v>Editorial: interactive property specimens make depth and motion scales concrete.</x:v>
      </x:c>
      <x:c r="E55" s="3" t="str">
        <x:v>Official primary example. Read the verification scope; this is not a completed performance or accessibility test.</x:v>
      </x:c>
      <x:c r="F55" s="3" t="str">
        <x:v>Primary reference checked; live viewing only when explicitly stated.</x:v>
      </x:c>
    </x:row>
    <x:row r="56" ht="15" hidden="0" customHeight="1">
      <x:c r="A56" s="3" t="str">
        <x:v>radix_primitives</x:v>
      </x:c>
      <x:c r="B56" s="3" t="str">
        <x:v>Radix Primitives</x:v>
      </x:c>
      <x:c r="C56" s="3" t="str">
        <x:v>https://www.radix-ui.com/primitives/docs/components/navigation-menu</x:v>
      </x:c>
      <x:c r="D56" s="3" t="str">
        <x:v>Editorial: navigation menu preview shows refined layered composition; supplied styling is optional.</x:v>
      </x:c>
      <x:c r="E56" s="3" t="str">
        <x:v>Official primary example. Read the verification scope; this is not a completed performance or accessibility test.</x:v>
      </x:c>
      <x:c r="F56" s="3" t="str">
        <x:v>Primary reference checked; live viewing only when explicitly stated.</x:v>
      </x:c>
    </x:row>
    <x:row r="57" ht="15" hidden="0" customHeight="1">
      <x:c r="A57" s="3" t="str">
        <x:v>react-grid-layout</x:v>
      </x:c>
      <x:c r="B57" s="3" t="str">
        <x:v>React Grid Layout</x:v>
      </x:c>
      <x:c r="C57" s="3" t="str">
        <x:v>https://react-grid-layout.github.io/react-grid-layout/examples/0-showcase.html</x:v>
      </x:c>
      <x:c r="D57" s="3" t="str">
        <x:v>Layout primitive: official showcase demonstrates resizing/reordering; visual polish comes from card contents, not library styling.</x:v>
      </x:c>
      <x:c r="E57" s="3" t="str">
        <x:v>Official primary example. Read the verification scope; this is not a completed performance or accessibility test.</x:v>
      </x:c>
      <x:c r="F57" s="3" t="str">
        <x:v>Primary reference checked; live viewing only when explicitly stated.</x:v>
      </x:c>
    </x:row>
    <x:row r="58" ht="15" hidden="0" customHeight="1">
      <x:c r="A58" s="3" t="str">
        <x:v>react_resizable_panels</x:v>
      </x:c>
      <x:c r="B58" s="3" t="str">
        <x:v>react-resizable-panels</x:v>
      </x:c>
      <x:c r="C58" s="3" t="str">
        <x:v>https://react-resizable-panels.vercel.app/</x:v>
      </x:c>
      <x:c r="D58" s="3" t="str">
        <x:v>Editorial estimate from official example surface; choose custom panel chrome to match the app.</x:v>
      </x:c>
      <x:c r="E58" s="3" t="str">
        <x:v>Official primary example. Read the verification scope; this is not a completed performance or accessibility test.</x:v>
      </x:c>
      <x:c r="F58" s="3" t="str">
        <x:v>Primary reference checked; live viewing only when explicitly stated.</x:v>
      </x:c>
    </x:row>
    <x:row r="59" ht="24" hidden="0" customHeight="1">
      <x:c r="A59" s="3" t="str">
        <x:v>schedule-x</x:v>
      </x:c>
      <x:c r="B59" s="3" t="str">
        <x:v>Schedule-X core</x:v>
      </x:c>
      <x:c r="C59" s="3" t="str">
        <x:v>https://schedule-x.dev/</x:v>
      </x:c>
      <x:c r="D59" s="3" t="str">
        <x:v>Live browser visual review 2026-10-17: week calendar with overlapping event cards; homepage demo contains premium interactions, excluded from OSS capability rating.</x:v>
      </x:c>
      <x:c r="E59" s="3" t="str">
        <x:v>Official primary example. Read the verification scope; this is not a completed performance or accessibility test.</x:v>
      </x:c>
      <x:c r="F59" s="3" t="str">
        <x:v>Primary reference checked; live viewing only when explicitly stated.</x:v>
      </x:c>
    </x:row>
    <x:row r="60" ht="15" hidden="0" customHeight="1">
      <x:c r="A60" s="3" t="str">
        <x:v>wavesurfer</x:v>
      </x:c>
      <x:c r="B60" s="3" t="str">
        <x:v>wavesurfer.js</x:v>
      </x:c>
      <x:c r="C60" s="3" t="str">
        <x:v>https://wavesurfer.xyz/examples/?regions.js</x:v>
      </x:c>
      <x:c r="D60" s="3" t="str">
        <x:v>Official region editor inspected in browser; sample audio waveform did not load during the session. Primitive capability rating is provisional.</x:v>
      </x:c>
      <x:c r="E60" s="3" t="str">
        <x:v>Official primary example. Read the verification scope; this is not a completed performance or accessibility test.</x:v>
      </x:c>
      <x:c r="F60" s="3" t="str">
        <x:v>Primary reference checked; live viewing only when explicitly stated.</x:v>
      </x:c>
    </x:row>
    <x:row r="61" ht="24" hidden="0" customHeight="1">
      <x:c r="A61" s="3" t="str">
        <x:v>openreel-video</x:v>
      </x:c>
      <x:c r="B61" s="3" t="str">
        <x:v>OpenReel Video (MIT application)</x:v>
      </x:c>
      <x:c r="C61" s="3" t="str">
        <x:v>https://app.openreel.video/#/editor</x:v>
      </x:c>
      <x:c r="D61" s="3" t="str">
        <x:v>Live empty editor inspected: onboarding, tool rail, resizable media/preview/inspector panels, timecode controls, track-size and snapping controls. No media was imported or export measured.</x:v>
      </x:c>
      <x:c r="E61" s="3" t="str">
        <x:v>Official primary example. Read the verification scope; this is not a completed performance or accessibility test.</x:v>
      </x:c>
      <x:c r="F61" s="3" t="str">
        <x:v>Primary reference checked; live viewing only when explicitly stated.</x:v>
      </x:c>
    </x:row>
    <x:row r="62" ht="15" hidden="0" customHeight="1">
      <x:c r="A62" s="3" t="str">
        <x:v>nuqs</x:v>
      </x:c>
      <x:c r="B62" s="3" t="str">
        <x:v>nuqs</x:v>
      </x:c>
      <x:c r="C62" s="3" t="str">
        <x:v>https://nuqs.dev/playground/pagination</x:v>
      </x:c>
      <x:c r="D62" s="3" t="str">
        <x:v>Switch server/client pagination controls, add fake fetch delay and navigate page state.</x:v>
      </x:c>
      <x:c r="E62" s="3" t="str">
        <x:v>Makes URL persistence and perceived responsiveness assessable without confusing them with visual styling.</x:v>
      </x:c>
      <x:c r="F62" s="3" t="str">
        <x:v>Primary reference checked; live viewing only when explicitly stated.</x:v>
      </x:c>
    </x:row>
    <x:row r="63" ht="15" hidden="0" customHeight="1">
      <x:c r="A63" s="3" t="str">
        <x:v>nuqs</x:v>
      </x:c>
      <x:c r="B63" s="3" t="str">
        <x:v>nuqs</x:v>
      </x:c>
      <x:c r="C63" s="3" t="str">
        <x:v>https://nuqs.dev/playground</x:v>
      </x:c>
      <x:c r="D63" s="3" t="str">
        <x:v>Tic Tac Toe stores moves in the URL so browser Back/Forward undo/redo them.</x:v>
      </x:c>
      <x:c r="E63" s="3" t="str">
        <x:v>A compact demonstration of navigable state; not a recommendation to store large app history in URLs.</x:v>
      </x:c>
      <x:c r="F63" s="3" t="str">
        <x:v>Primary reference checked; live viewing only when explicitly stated.</x:v>
      </x:c>
    </x:row>
    <x:row r="64" ht="15" hidden="0" customHeight="1">
      <x:c r="A64" s="3" t="str">
        <x:v>ark_ui</x:v>
      </x:c>
      <x:c r="B64" s="3" t="str">
        <x:v>Ark UI</x:v>
      </x:c>
      <x:c r="C64" s="3" t="str">
        <x:v>https://ark-ui.com/docs/components/tree-view</x:v>
      </x:c>
      <x:c r="D64" s="3" t="str">
        <x:v>Tree selection, lazy children and virtualised traversal examples.</x:v>
      </x:c>
      <x:c r="E64" s="3" t="str">
        <x:v>Concrete keyboard and large-collection behaviour missing from generic card kits.</x:v>
      </x:c>
      <x:c r="F64" s="3" t="str">
        <x:v>Primary reference checked; live viewing only when explicitly stated.</x:v>
      </x:c>
    </x:row>
    <x:row r="65" ht="15" hidden="0" customHeight="1">
      <x:c r="A65" s="3" t="str">
        <x:v>ark_ui</x:v>
      </x:c>
      <x:c r="B65" s="3" t="str">
        <x:v>Ark UI</x:v>
      </x:c>
      <x:c r="C65" s="3" t="str">
        <x:v>https://ark-ui.com/docs/components/file-upload</x:v>
      </x:c>
      <x:c r="D65" s="3" t="str">
        <x:v>File selection/drop surface, accepted-file list and removal controls.</x:v>
      </x:c>
      <x:c r="E65" s="3" t="str">
        <x:v>A desktop import interaction that needs coherent states and assistive labels.</x:v>
      </x:c>
      <x:c r="F65" s="3" t="str">
        <x:v>Primary reference checked; live viewing only when explicitly stated.</x:v>
      </x:c>
    </x:row>
    <x:row r="66" ht="15" hidden="0" customHeight="1">
      <x:c r="A66" s="3" t="str">
        <x:v>react_querybuilder</x:v>
      </x:c>
      <x:c r="B66" s="3" t="str">
        <x:v>React Query Builder</x:v>
      </x:c>
      <x:c r="C66" s="3" t="str">
        <x:v>https://react-querybuilder.js.org/demo</x:v>
      </x:c>
      <x:c r="D66" s="3" t="str">
        <x:v>Add nested AND/OR groups and switch/control rule editors.</x:v>
      </x:c>
      <x:c r="E66" s="3" t="str">
        <x:v>A concrete alternative to opaque AI-only filtering; demo body requires browser review.</x:v>
      </x:c>
      <x:c r="F66" s="3" t="str">
        <x:v>Primary reference checked; live viewing only when explicitly stated.</x:v>
      </x:c>
    </x:row>
    <x:row r="67" ht="15" hidden="0" customHeight="1">
      <x:c r="A67" s="3" t="str">
        <x:v>react_querybuilder</x:v>
      </x:c>
      <x:c r="B67" s="3" t="str">
        <x:v>React Query Builder</x:v>
      </x:c>
      <x:c r="C67" s="3" t="str">
        <x:v>https://react-querybuilder.js.org/docs/compat</x:v>
      </x:c>
      <x:c r="D67" s="3" t="str">
        <x:v>shadcn registry and compatible UI controls render the same structured query.</x:v>
      </x:c>
      <x:c r="E67" s="3" t="str">
        <x:v>Shows how the builder can share the app's visual system instead of introducing mismatched default controls.</x:v>
      </x:c>
      <x:c r="F67" s="3" t="str">
        <x:v>Primary reference checked; live viewing only when explicitly stated.</x:v>
      </x:c>
    </x:row>
    <x:row r="68" ht="15" hidden="0" customHeight="1">
      <x:c r="A68" s="3" t="str">
        <x:v>novu_inbox</x:v>
      </x:c>
      <x:c r="B68" s="3" t="str">
        <x:v>Novu open-core Inbox</x:v>
      </x:c>
      <x:c r="C68" s="3" t="str">
        <x:v>https://inbox.novu.co/</x:v>
      </x:c>
      <x:c r="D68" s="3" t="str">
        <x:v>Notification feed with tabs, read/archive actions and preference controls.</x:v>
      </x:c>
      <x:c r="E68" s="3" t="str">
        <x:v>Demonstrates durable attention management distinct from ephemeral toasts; live visual review remains pending.</x:v>
      </x:c>
      <x:c r="F68" s="3" t="str">
        <x:v>Primary reference checked; live viewing only when explicitly stated.</x:v>
      </x:c>
    </x:row>
    <x:row r="69" ht="15" hidden="0" customHeight="1">
      <x:c r="A69" s="3" t="str">
        <x:v>novu_inbox</x:v>
      </x:c>
      <x:c r="B69" s="3" t="str">
        <x:v>Novu open-core Inbox</x:v>
      </x:c>
      <x:c r="C69" s="3" t="str">
        <x:v>https://novu.co/inbox/</x:v>
      </x:c>
      <x:c r="D69" s="3" t="str">
        <x:v>Compare the documented Linear/Notion-style light/dark notification skins.</x:v>
      </x:c>
      <x:c r="E69" s="3" t="str">
        <x:v>Shows theming potential while keeping paid/hosted functionality separately scoped.</x:v>
      </x:c>
      <x:c r="F69" s="3" t="str">
        <x:v>Primary reference checked; live viewing only when explicitly stated.</x:v>
      </x:c>
    </x:row>
    <x:row r="70" ht="15" hidden="0" customHeight="1">
      <x:c r="A70" s="3" t="str">
        <x:v>kokonut_ui</x:v>
      </x:c>
      <x:c r="B70" s="3" t="str">
        <x:v>Kokonut UI (free components)</x:v>
      </x:c>
      <x:c r="C70" s="3" t="str">
        <x:v>https://kokonutui.com/docs/ai/ai-tool-approval</x:v>
      </x:c>
      <x:c r="D70" s="3" t="str">
        <x:v>Approve or reject a presented agent tool action.</x:v>
      </x:c>
      <x:c r="E70" s="3" t="str">
        <x:v>Specific human-review presentation reference; authorization enforcement must remain server-side.</x:v>
      </x:c>
      <x:c r="F70" s="3" t="str">
        <x:v>Primary reference checked; live viewing only when explicitly stated.</x:v>
      </x:c>
    </x:row>
    <x:row r="71" ht="15" hidden="0" customHeight="1">
      <x:c r="A71" s="3" t="str">
        <x:v>kokonut_ui</x:v>
      </x:c>
      <x:c r="B71" s="3" t="str">
        <x:v>Kokonut UI (free components)</x:v>
      </x:c>
      <x:c r="C71" s="3" t="str">
        <x:v>https://kokonutui.com/docs/ai/ai-diff-review</x:v>
      </x:c>
      <x:c r="D71" s="3" t="str">
        <x:v>Inspect a proposed change in an inline diff-review card.</x:v>
      </x:c>
      <x:c r="E71" s="3" t="str">
        <x:v>A small, ownable AI review treatment; not a substitute for Monaco when full code-editing features are required.</x:v>
      </x:c>
      <x:c r="F71" s="3" t="str">
        <x:v>Primary reference checked; live viewing only when explicitly stated.</x:v>
      </x:c>
    </x:row>
    <x:row r="72" ht="15" hidden="0" customHeight="1">
      <x:c r="A72" s="3" t="str">
        <x:v>kokonut_ui</x:v>
      </x:c>
      <x:c r="B72" s="3" t="str">
        <x:v>Kokonut UI (free components)</x:v>
      </x:c>
      <x:c r="C72" s="3" t="str">
        <x:v>https://kokonutui.com/docs/inputs/detent-dial</x:v>
      </x:c>
      <x:c r="D72" s="3" t="str">
        <x:v>Rotate a dial or flick it through discrete stops.</x:v>
      </x:c>
      <x:c r="E72" s="3" t="str">
        <x:v>A specialised tactile precision-control reference; provide keyboard and numeric alternatives.</x:v>
      </x:c>
      <x:c r="F72" s="3" t="str">
        <x:v>Primary reference checked; live viewing only when explicitly stated.</x:v>
      </x:c>
    </x:row>
    <x:row r="73" ht="15" hidden="0" customHeight="1">
      <x:c r="A73" s="3" t="str">
        <x:v>pixijs</x:v>
      </x:c>
      <x:c r="B73" s="3" t="str">
        <x:v>PixiJS</x:v>
      </x:c>
      <x:c r="C73" s="3" t="str">
        <x:v>https://pixijs.com/</x:v>
      </x:c>
      <x:c r="D73" s="3" t="str">
        <x:v>Nebulon Header: GPU-rendered interactive scene above concise app/renderer navigation.</x:v>
      </x:c>
      <x:c r="E73" s="3" t="str">
        <x:v>A focused example of a striking GPU scene that can stay isolated from accessible app chrome.</x:v>
      </x:c>
      <x:c r="F73" s="3" t="str">
        <x:v>Primary reference checked; live viewing only when explicitly stated.</x:v>
      </x:c>
    </x:row>
    <x:row r="74" ht="15" hidden="0" customHeight="1">
      <x:c r="A74" s="3" t="str">
        <x:v>pixijs</x:v>
      </x:c>
      <x:c r="B74" s="3" t="str">
        <x:v>PixiJS</x:v>
      </x:c>
      <x:c r="C74" s="3" t="str">
        <x:v>https://www.awwwards.com/inspiration/pixi-js-filter</x:v>
      </x:c>
      <x:c r="D74" s="3" t="str">
        <x:v>Filter-based image/transition treatment attributed to PixiJS.</x:v>
      </x:c>
      <x:c r="E74" s="3" t="str">
        <x:v>Secondary inspiration lead only; inspect source/assets and reduced motion before reuse, not blanket permission to copy.</x:v>
      </x:c>
      <x:c r="F74" s="3" t="str">
        <x:v>Primary reference checked; live viewing only when explicitly stated.</x:v>
      </x:c>
    </x:row>
    <x:row r="75" ht="15" hidden="0" customHeight="1">
      <x:c r="A75" s="3" t="str">
        <x:v>antv-g6</x:v>
      </x:c>
      <x:c r="B75" s="3" t="str">
        <x:v>AntV G6</x:v>
      </x:c>
      <x:c r="C75" s="3" t="str">
        <x:v>https://g6.antv.antgroup.com/en/examples/feature/default/unicorns-investors/</x:v>
      </x:c>
      <x:c r="D75" s="3" t="str">
        <x:v>Information Density: 1,086 nodes/1,247 edges, neighbour focus, fixed-size labels and adaptive visibility.</x:v>
      </x:c>
      <x:c r="E75" s="3" t="str">
        <x:v>Relevant semantic-density pattern; live example stayed loading, so code/thumbnail evidence is provisional.</x:v>
      </x:c>
      <x:c r="F75" s="3" t="str">
        <x:v>Primary reference checked; live viewing only when explicitly stated.</x:v>
      </x:c>
    </x:row>
    <x:row r="76" ht="15" hidden="0" customHeight="1">
      <x:c r="A76" s="3" t="str">
        <x:v>loro</x:v>
      </x:c>
      <x:c r="B76" s="3" t="str">
        <x:v>Loro</x:v>
      </x:c>
      <x:c r="C76" s="3" t="str">
        <x:v>https://loro.dev/</x:v>
      </x:c>
      <x:c r="D76" s="3" t="str">
        <x:v>Collaborative structured state and document version history.</x:v>
      </x:c>
      <x:c r="E76" s="3" t="str">
        <x:v>A data-model reference for custom canvas/doc history, not a standalone polished UI.</x:v>
      </x:c>
      <x:c r="F76" s="3" t="str">
        <x:v>Primary reference checked; live viewing only when explicitly stated.</x:v>
      </x:c>
    </x:row>
    <x:row r="77" ht="15" hidden="0" customHeight="1">
      <x:c r="A77" s="3" t="str">
        <x:v>vtable</x:v>
      </x:c>
      <x:c r="B77" s="3" t="str">
        <x:v>VisActor VTable</x:v>
      </x:c>
      <x:c r="C77" s="3" t="str">
        <x:v>https://visactor.io/vtable</x:v>
      </x:c>
      <x:c r="D77" s="3" t="str">
        <x:v>Dense multidimensional/pivot table and Gantt ecosystem.</x:v>
      </x:c>
      <x:c r="E77" s="3" t="str">
        <x:v>Adds an open Canvas table/Gantt direction; browser review blocked by approval-review usage limit, so treat as prototype candidate.</x:v>
      </x:c>
      <x:c r="F77" s="3" t="str">
        <x:v>Primary reference checked; live viewing only when explicitly stated.</x:v>
      </x:c>
    </x:row>
    <x:row r="78" ht="15" hidden="0" customHeight="1">
      <x:c r="A78" s="3" t="str">
        <x:v>json_render</x:v>
      </x:c>
      <x:c r="B78" s="3" t="str">
        <x:v>json-render</x:v>
      </x:c>
      <x:c r="C78" s="3" t="str">
        <x:v>https://json-render.dev/playground</x:v>
      </x:c>
      <x:c r="D78" s="3" t="str">
        <x:v>A prompt assembles an interactive dashboard from the allowed catalog while patches stream.</x:v>
      </x:c>
      <x:c r="E78" s="3" t="str">
        <x:v>A concrete E5 proof of constrained composition; root should verify actual rendering before rating firm.</x:v>
      </x:c>
      <x:c r="F78" s="3" t="str">
        <x:v>Primary reference checked; live viewing only when explicitly stated.</x:v>
      </x:c>
    </x:row>
    <x:row r="79" ht="15" hidden="0" customHeight="1">
      <x:c r="A79" s="3" t="str">
        <x:v>openui_thesys</x:v>
      </x:c>
      <x:c r="B79" s="3" t="str">
        <x:v>OpenUI (Thesys open-source framework)</x:v>
      </x:c>
      <x:c r="C79" s="3" t="str">
        <x:v>https://www.openui.com/demo/f1-dashboard</x:v>
      </x:c>
      <x:c r="D79" s="3" t="str">
        <x:v>Season overview, drivers, constructors and calendar connect to a contextual Team Radio prompt.</x:v>
      </x:c>
      <x:c r="E79" s="3" t="str">
        <x:v>Specialized KPI context with an agent overlay provides a better example than another generic chat screenshot.</x:v>
      </x:c>
      <x:c r="F79" s="3" t="str">
        <x:v>Primary reference checked; live viewing only when explicitly stated.</x:v>
      </x:c>
    </x:row>
    <x:row r="80" ht="15" hidden="0" customHeight="1">
      <x:c r="A80" s="3" t="str">
        <x:v>openui_thesys</x:v>
      </x:c>
      <x:c r="B80" s="3" t="str">
        <x:v>OpenUI (Thesys open-source framework)</x:v>
      </x:c>
      <x:c r="C80" s="3" t="str">
        <x:v>https://www.openui.com/docs</x:v>
      </x:c>
      <x:c r="D80" s="3" t="str">
        <x:v>Choose a registered component library, stream the language, render one component line at a time.</x:v>
      </x:c>
      <x:c r="E80" s="3" t="str">
        <x:v>Explains integration boundary and why a renderer can coexist with assistant-ui/CopilotKit.</x:v>
      </x:c>
      <x:c r="F80" s="3" t="str">
        <x:v>Primary reference checked; live viewing only when explicitly stated.</x:v>
      </x:c>
    </x:row>
    <x:row r="81" ht="24" hidden="0" customHeight="1">
      <x:c r="A81" s="3" t="str">
        <x:v>rive_runtime</x:v>
      </x:c>
      <x:c r="B81" s="3" t="str">
        <x:v>Rive Web runtime (MIT playback; separate authoring)</x:v>
      </x:c>
      <x:c r="C81" s="3" t="str">
        <x:v>https://rive.app/docs/runtimes/demos</x:v>
      </x:c>
      <x:c r="D81" s="3" t="str">
        <x:v>Interactive runtime demonstrations with state-machine inputs.</x:v>
      </x:c>
      <x:c r="E81" s="3" t="str">
        <x:v>Shows authored stateful vector responses; docs link comes from official Web runtime README. Root visual QA pending.</x:v>
      </x:c>
      <x:c r="F81" s="3" t="str">
        <x:v>Primary reference checked; live viewing only when explicitly stated.</x:v>
      </x:c>
    </x:row>
  </x:sheetData>
  <x:pageMargins left="0.7" right="0.7" top="0.75" bottom="0.75" header="0.3" footer="0.3"/>
  <x:tableParts count="1">
    <x:tablePart xmlns:r="http://schemas.openxmlformats.org/officeDocument/2006/relationships" r:id="R530a511da49547e8"/>
  </x:tableParts>
</x:worksheet>
</file>